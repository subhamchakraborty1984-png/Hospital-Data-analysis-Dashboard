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wnloads\"/>
    </mc:Choice>
  </mc:AlternateContent>
  <xr:revisionPtr revIDLastSave="0" documentId="8_{A6990D27-6886-406A-A385-195D38309B61}" xr6:coauthVersionLast="47" xr6:coauthVersionMax="47" xr10:uidLastSave="{00000000-0000-0000-0000-000000000000}"/>
  <bookViews>
    <workbookView xWindow="-108" yWindow="-108" windowWidth="23256" windowHeight="12456" activeTab="1" xr2:uid="{7BB80FEA-725B-46F9-A62D-F6F40BA4E58F}"/>
  </bookViews>
  <sheets>
    <sheet name="Pivot report" sheetId="1" r:id="rId1"/>
    <sheet name="Dashboard" sheetId="2" r:id="rId2"/>
    <sheet name="patient satisfication score" sheetId="5" r:id="rId3"/>
    <sheet name="Average wait time" sheetId="4" r:id="rId4"/>
    <sheet name="Daily Emergency patient" sheetId="3" r:id="rId5"/>
  </sheets>
  <definedNames>
    <definedName name="Slicer_Date__Month">#N/A</definedName>
    <definedName name="Slicer_Date__Year">#N/A</definedName>
  </definedNames>
  <calcPr calcId="191029"/>
  <pivotCaches>
    <pivotCache cacheId="757" r:id="rId6"/>
    <pivotCache cacheId="760" r:id="rId7"/>
    <pivotCache cacheId="763" r:id="rId8"/>
    <pivotCache cacheId="766" r:id="rId9"/>
    <pivotCache cacheId="769" r:id="rId10"/>
    <pivotCache cacheId="772" r:id="rId11"/>
    <pivotCache cacheId="775" r:id="rId12"/>
    <pivotCache cacheId="778" r:id="rId13"/>
    <pivotCache cacheId="781" r:id="rId14"/>
    <pivotCache cacheId="784" r:id="rId15"/>
    <pivotCache cacheId="787" r:id="rId16"/>
    <pivotCache cacheId="790" r:id="rId17"/>
  </pivotCaches>
  <extLst>
    <ext xmlns:x14="http://schemas.microsoft.com/office/spreadsheetml/2009/9/main" uri="{876F7934-8845-4945-9796-88D515C7AA90}">
      <x14:pivotCaches>
        <pivotCache cacheId="12" r:id="rId18"/>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18380bc-a55e-4ee5-a1ab-a842be043afe" name="Hospital Emergency Room Data" connection="Query - Hospital Emergency Room Data"/>
          <x15:modelTable id="Calender_Table_a2db3b9b-9545-4031-abfc-6a72f836a4dc"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C62" i="1" l="1"/>
  <c r="C6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9CFD1C-D043-49DB-BFD6-21605886B9EB}" name="Query - Calender_Table" description="Connection to the 'Calender_Table' query in the workbook." type="100" refreshedVersion="8" minRefreshableVersion="5">
    <extLst>
      <ext xmlns:x15="http://schemas.microsoft.com/office/spreadsheetml/2010/11/main" uri="{DE250136-89BD-433C-8126-D09CA5730AF9}">
        <x15:connection id="84879c24-3b61-4c2f-844e-e6a05a965012"/>
      </ext>
    </extLst>
  </connection>
  <connection id="2" xr16:uid="{15304265-634E-4C10-BB0B-8F7087F63FB0}"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5474e829-8e02-4358-8b0b-db338ac64f55"/>
      </ext>
    </extLst>
  </connection>
  <connection id="3" xr16:uid="{EEDA5D72-F570-4060-B878-22B5BFAD1A7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<sst xmlns="http://schemas.openxmlformats.org/spreadsheetml/2006/main" count="154" uniqueCount="73">
  <si>
    <t>Distinct Count of Patient Id</t>
  </si>
  <si>
    <t>No.of patient</t>
  </si>
  <si>
    <t>Average of Patient Waittime</t>
  </si>
  <si>
    <t>Average of Patient Satisfaction Score</t>
  </si>
  <si>
    <t>Row Labels</t>
  </si>
  <si>
    <t>Grand Total</t>
  </si>
  <si>
    <t>Daily trends of no of patient</t>
  </si>
  <si>
    <t>a</t>
  </si>
  <si>
    <t>Average wait time</t>
  </si>
  <si>
    <t>Count of Patient Admission Flag</t>
  </si>
  <si>
    <t>Admitted</t>
  </si>
  <si>
    <t>Not Admitted</t>
  </si>
  <si>
    <t>Count of Patient Admission Flag2</t>
  </si>
  <si>
    <t>% Status</t>
  </si>
  <si>
    <t>Count of Age Group</t>
  </si>
  <si>
    <t>0-09</t>
  </si>
  <si>
    <t>10-19</t>
  </si>
  <si>
    <t>20-29</t>
  </si>
  <si>
    <t>30-39</t>
  </si>
  <si>
    <t>40-49</t>
  </si>
  <si>
    <t>50-59</t>
  </si>
  <si>
    <t>60-69</t>
  </si>
  <si>
    <t>70-79</t>
  </si>
  <si>
    <t>AGE GROUP WISE ANALYSIS</t>
  </si>
  <si>
    <t>Count of Patient Id</t>
  </si>
  <si>
    <t>Ontime</t>
  </si>
  <si>
    <t>Delay</t>
  </si>
  <si>
    <t>ATTENDANCE STATUS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</si>
  <si>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</si>
  <si>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</si>
  <si>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</si>
  <si>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</si>
  <si>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</si>
  <si>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</si>
  <si>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</si>
  <si>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</si>
  <si>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</si>
  <si>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</si>
  <si>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</si>
  <si>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</si>
  <si>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</si>
  <si>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2023</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</si>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</sst>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sz val="11"/>
      <color theme="1"/>
      <name val="Calibri"/>
      <family val="2"/>
      <scheme val="minor"/>
    </font>
  </fonts>
  <fills count="8">
    <fill>
      <patternFill patternType="none"/>
    </fill>
    <fill>
      <patternFill patternType="gray125"/>
    </fill>
    <fill>
      <patternFill patternType="solid">
        <fgColor theme="2" tint="-0.749992370372631"/>
        <bgColor indexed="64"/>
      </patternFill>
    </fill>
    <fill>
      <patternFill patternType="solid">
        <fgColor theme="4" tint="-0.249977111117893"/>
        <bgColor indexed="64"/>
      </patternFill>
    </fill>
    <fill>
      <patternFill patternType="solid">
        <fgColor rgb="FFFFFF00"/>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8">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0" fontId="1" fillId="0" borderId="0" xfId="0" applyFont="1"/>
    <xf numFmtId="0" fontId="0" fillId="4" borderId="0" xfId="0" applyFill="1"/>
    <xf numFmtId="1" fontId="0" fillId="0" borderId="0" xfId="0" applyNumberFormat="1"/>
    <xf numFmtId="10" fontId="0" fillId="0" borderId="0" xfId="0" applyNumberFormat="1"/>
    <xf numFmtId="0" fontId="1" fillId="5" borderId="0" xfId="0" applyFont="1" applyFill="1" applyAlignment="1">
      <alignment horizontal="center"/>
    </xf>
    <xf numFmtId="0" fontId="0" fillId="5" borderId="0" xfId="0" applyFill="1"/>
    <xf numFmtId="9" fontId="0" fillId="6" borderId="0" xfId="1" applyFont="1" applyFill="1" applyAlignment="1">
      <alignment horizontal="center"/>
    </xf>
    <xf numFmtId="0" fontId="0" fillId="6" borderId="0" xfId="0" applyFill="1"/>
    <xf numFmtId="0" fontId="1" fillId="4" borderId="0" xfId="0" applyFont="1" applyFill="1"/>
    <xf numFmtId="0" fontId="0" fillId="7" borderId="0" xfId="0" applyFill="1"/>
    <xf numFmtId="0" fontId="0" fillId="4" borderId="0" xfId="0" applyFill="1" applyAlignment="1">
      <alignment horizontal="left"/>
    </xf>
    <xf numFmtId="0" fontId="0" fillId="0" borderId="0" xfId="0" applyNumberFormat="1"/>
  </cellXfs>
  <cellStyles count="2">
    <cellStyle name="Normal" xfId="0" builtinId="0"/>
    <cellStyle name="Percent" xfId="1" builtinId="5"/>
  </cellStyles>
  <dxfs count="90">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9"/>
        </bottom>
        <vertical/>
        <horizontal/>
      </border>
    </dxf>
    <dxf>
      <font>
        <sz val="8"/>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 style" pivot="0" table="0" count="10" xr9:uid="{5F51B5D3-C8A4-4AA6-9D40-D86F2EA81E75}">
      <tableStyleElement type="wholeTable" dxfId="89"/>
      <tableStyleElement type="headerRow" dxfId="8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1.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emegency data analysis.xlsx]Pivot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EA17FC1-E459-4CBE-85B0-00B50C22765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37959FB-45F1-40C7-9C1B-DE401626171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3.3704471151632338E-2"/>
          <c:y val="6.4516129032258063E-2"/>
          <c:w val="0.80303516562799315"/>
          <c:h val="0.69892473118279574"/>
        </c:manualLayout>
      </c:layout>
      <c:barChart>
        <c:barDir val="bar"/>
        <c:grouping val="clustered"/>
        <c:varyColors val="0"/>
        <c:ser>
          <c:idx val="0"/>
          <c:order val="0"/>
          <c:tx>
            <c:strRef>
              <c:f>'Pivot report'!$C$40:$C$41</c:f>
              <c:strCache>
                <c:ptCount val="1"/>
                <c:pt idx="0">
                  <c:v>Count of Patient Admission Flag</c:v>
                </c:pt>
              </c:strCache>
            </c:strRef>
          </c:tx>
          <c:spPr>
            <a:solidFill>
              <a:schemeClr val="accent1"/>
            </a:solidFill>
            <a:ln>
              <a:noFill/>
            </a:ln>
            <a:effectLst/>
          </c:spPr>
          <c:invertIfNegative val="0"/>
          <c:dPt>
            <c:idx val="0"/>
            <c:invertIfNegative val="0"/>
            <c:bubble3D val="0"/>
          </c:dPt>
          <c:dPt>
            <c:idx val="1"/>
            <c:invertIfNegative val="0"/>
            <c:bubble3D val="0"/>
          </c:dPt>
          <c:dLbls>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EA17FC1-E459-4CBE-85B0-00B50C22765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dLbl>
              <c:idx val="1"/>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37959FB-45F1-40C7-9C1B-DE401626171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cat>
            <c:strRef>
              <c:f>'Pivot report'!$C$40:$C$41</c:f>
              <c:strCache>
                <c:ptCount val="2"/>
                <c:pt idx="0">
                  <c:v>Admitted</c:v>
                </c:pt>
                <c:pt idx="1">
                  <c:v>Not Admitted</c:v>
                </c:pt>
              </c:strCache>
            </c:strRef>
          </c:cat>
          <c:val>
            <c:numRef>
              <c:f>'Pivot report'!$C$40:$C$41</c:f>
              <c:numCache>
                <c:formatCode>0</c:formatCode>
                <c:ptCount val="2"/>
                <c:pt idx="0">
                  <c:v>239</c:v>
                </c:pt>
                <c:pt idx="1">
                  <c:v>254</c:v>
                </c:pt>
              </c:numCache>
            </c:numRef>
          </c:val>
          <c:extLst>
            <c:ext xmlns:c16="http://schemas.microsoft.com/office/drawing/2014/chart" uri="{C3380CC4-5D6E-409C-BE32-E72D297353CC}">
              <c16:uniqueId val="{00000006-B7C8-4649-B4BE-8B28DFC15A17}"/>
            </c:ext>
          </c:extLst>
        </c:ser>
        <c:ser>
          <c:idx val="1"/>
          <c:order val="1"/>
          <c:tx>
            <c:strRef>
              <c:f>'Pivot report'!$C$40:$C$41</c:f>
              <c:strCache>
                <c:ptCount val="1"/>
                <c:pt idx="0">
                  <c:v>Count of Patient Admission Flag2</c:v>
                </c:pt>
              </c:strCache>
            </c:strRef>
          </c:tx>
          <c:spPr>
            <a:solidFill>
              <a:schemeClr val="accent2"/>
            </a:solidFill>
            <a:ln>
              <a:noFill/>
            </a:ln>
            <a:effectLst/>
          </c:spPr>
          <c:invertIfNegative val="0"/>
          <c:cat>
            <c:strRef>
              <c:f>'Pivot report'!$C$40:$C$41</c:f>
              <c:strCache>
                <c:ptCount val="2"/>
                <c:pt idx="0">
                  <c:v>Admitted</c:v>
                </c:pt>
                <c:pt idx="1">
                  <c:v>Not Admitted</c:v>
                </c:pt>
              </c:strCache>
            </c:strRef>
          </c:cat>
          <c:val>
            <c:numRef>
              <c:f>'Pivot report'!$C$40:$C$41</c:f>
              <c:numCache>
                <c:formatCode>0.00%</c:formatCode>
                <c:ptCount val="2"/>
                <c:pt idx="0">
                  <c:v>0.48478701825557807</c:v>
                </c:pt>
                <c:pt idx="1">
                  <c:v>0.51521298174442187</c:v>
                </c:pt>
              </c:numCache>
            </c:numRef>
          </c:val>
          <c:extLst>
            <c:ext xmlns:c16="http://schemas.microsoft.com/office/drawing/2014/chart" uri="{C3380CC4-5D6E-409C-BE32-E72D297353CC}">
              <c16:uniqueId val="{00000007-B7C8-4649-B4BE-8B28DFC15A17}"/>
            </c:ext>
          </c:extLst>
        </c:ser>
        <c:dLbls>
          <c:showLegendKey val="0"/>
          <c:showVal val="0"/>
          <c:showCatName val="0"/>
          <c:showSerName val="0"/>
          <c:showPercent val="0"/>
          <c:showBubbleSize val="0"/>
        </c:dLbls>
        <c:gapWidth val="0"/>
        <c:axId val="1260764336"/>
        <c:axId val="1260760976"/>
      </c:barChart>
      <c:catAx>
        <c:axId val="1260764336"/>
        <c:scaling>
          <c:orientation val="minMax"/>
        </c:scaling>
        <c:delete val="1"/>
        <c:axPos val="l"/>
        <c:numFmt formatCode="General" sourceLinked="1"/>
        <c:majorTickMark val="none"/>
        <c:minorTickMark val="none"/>
        <c:tickLblPos val="nextTo"/>
        <c:crossAx val="1260760976"/>
        <c:crosses val="autoZero"/>
        <c:auto val="1"/>
        <c:lblAlgn val="ctr"/>
        <c:lblOffset val="100"/>
        <c:noMultiLvlLbl val="0"/>
      </c:catAx>
      <c:valAx>
        <c:axId val="1260760976"/>
        <c:scaling>
          <c:orientation val="minMax"/>
        </c:scaling>
        <c:delete val="1"/>
        <c:axPos val="b"/>
        <c:numFmt formatCode="0" sourceLinked="1"/>
        <c:majorTickMark val="none"/>
        <c:minorTickMark val="none"/>
        <c:tickLblPos val="nextTo"/>
        <c:crossAx val="126076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emegency data analysis.xlsx]Pivot report!PivotTable4</c:name>
    <c:fmtId val="32"/>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5.1730557901715568E-3"/>
          <c:y val="0.38757439651029535"/>
          <c:w val="0.99482694420982842"/>
          <c:h val="0.61242560348970465"/>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report'!$E$5:$E$36</c:f>
              <c:numCache>
                <c:formatCode>General</c:formatCode>
                <c:ptCount val="31"/>
                <c:pt idx="0">
                  <c:v>15</c:v>
                </c:pt>
                <c:pt idx="1">
                  <c:v>14</c:v>
                </c:pt>
                <c:pt idx="2">
                  <c:v>15</c:v>
                </c:pt>
                <c:pt idx="3">
                  <c:v>18</c:v>
                </c:pt>
                <c:pt idx="4">
                  <c:v>19</c:v>
                </c:pt>
                <c:pt idx="5">
                  <c:v>15</c:v>
                </c:pt>
                <c:pt idx="6">
                  <c:v>15</c:v>
                </c:pt>
                <c:pt idx="7">
                  <c:v>10</c:v>
                </c:pt>
                <c:pt idx="8">
                  <c:v>19</c:v>
                </c:pt>
                <c:pt idx="9">
                  <c:v>12</c:v>
                </c:pt>
                <c:pt idx="10">
                  <c:v>20</c:v>
                </c:pt>
                <c:pt idx="11">
                  <c:v>18</c:v>
                </c:pt>
                <c:pt idx="12">
                  <c:v>20</c:v>
                </c:pt>
                <c:pt idx="13">
                  <c:v>11</c:v>
                </c:pt>
                <c:pt idx="14">
                  <c:v>10</c:v>
                </c:pt>
                <c:pt idx="15">
                  <c:v>14</c:v>
                </c:pt>
                <c:pt idx="16">
                  <c:v>11</c:v>
                </c:pt>
                <c:pt idx="17">
                  <c:v>25</c:v>
                </c:pt>
                <c:pt idx="18">
                  <c:v>17</c:v>
                </c:pt>
                <c:pt idx="19">
                  <c:v>22</c:v>
                </c:pt>
                <c:pt idx="20">
                  <c:v>18</c:v>
                </c:pt>
                <c:pt idx="21">
                  <c:v>16</c:v>
                </c:pt>
                <c:pt idx="22">
                  <c:v>14</c:v>
                </c:pt>
                <c:pt idx="23">
                  <c:v>13</c:v>
                </c:pt>
                <c:pt idx="24">
                  <c:v>15</c:v>
                </c:pt>
                <c:pt idx="25">
                  <c:v>18</c:v>
                </c:pt>
                <c:pt idx="26">
                  <c:v>10</c:v>
                </c:pt>
                <c:pt idx="27">
                  <c:v>15</c:v>
                </c:pt>
                <c:pt idx="28">
                  <c:v>18</c:v>
                </c:pt>
                <c:pt idx="29">
                  <c:v>16</c:v>
                </c:pt>
                <c:pt idx="30">
                  <c:v>20</c:v>
                </c:pt>
              </c:numCache>
            </c:numRef>
          </c:val>
          <c:extLst>
            <c:ext xmlns:c16="http://schemas.microsoft.com/office/drawing/2014/chart" uri="{C3380CC4-5D6E-409C-BE32-E72D297353CC}">
              <c16:uniqueId val="{00000003-9ACC-43C2-BC8B-FE32EACA75DE}"/>
            </c:ext>
          </c:extLst>
        </c:ser>
        <c:dLbls>
          <c:showLegendKey val="0"/>
          <c:showVal val="0"/>
          <c:showCatName val="0"/>
          <c:showSerName val="0"/>
          <c:showPercent val="0"/>
          <c:showBubbleSize val="0"/>
        </c:dLbls>
        <c:axId val="34060015"/>
        <c:axId val="34053775"/>
      </c:areaChart>
      <c:catAx>
        <c:axId val="34060015"/>
        <c:scaling>
          <c:orientation val="minMax"/>
        </c:scaling>
        <c:delete val="1"/>
        <c:axPos val="b"/>
        <c:numFmt formatCode="General" sourceLinked="1"/>
        <c:majorTickMark val="out"/>
        <c:minorTickMark val="none"/>
        <c:tickLblPos val="nextTo"/>
        <c:crossAx val="34053775"/>
        <c:crosses val="autoZero"/>
        <c:auto val="1"/>
        <c:lblAlgn val="ctr"/>
        <c:lblOffset val="100"/>
        <c:noMultiLvlLbl val="0"/>
      </c:catAx>
      <c:valAx>
        <c:axId val="34053775"/>
        <c:scaling>
          <c:orientation val="minMax"/>
        </c:scaling>
        <c:delete val="1"/>
        <c:axPos val="l"/>
        <c:numFmt formatCode="General" sourceLinked="1"/>
        <c:majorTickMark val="none"/>
        <c:minorTickMark val="none"/>
        <c:tickLblPos val="nextTo"/>
        <c:crossAx val="34060015"/>
        <c:crosses val="autoZero"/>
        <c:crossBetween val="midCat"/>
      </c:valAx>
      <c:spPr>
        <a:noFill/>
        <a:ln w="25400">
          <a:noFill/>
        </a:ln>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emegency data analysis.xlsx]Pivot report!PivotTable5</c:name>
    <c:fmtId val="5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834738742763535E-2"/>
          <c:y val="0.34284718834924388"/>
          <c:w val="0.95716526125723644"/>
          <c:h val="0.61349151046384687"/>
        </c:manualLayout>
      </c:layout>
      <c:areaChart>
        <c:grouping val="standard"/>
        <c:varyColors val="0"/>
        <c:ser>
          <c:idx val="0"/>
          <c:order val="0"/>
          <c:tx>
            <c:strRef>
              <c:f>'Pivot report'!$H$5</c:f>
              <c:strCache>
                <c:ptCount val="1"/>
                <c:pt idx="0">
                  <c:v>Total</c:v>
                </c:pt>
              </c:strCache>
            </c:strRef>
          </c:tx>
          <c:spPr>
            <a:solidFill>
              <a:schemeClr val="accent1"/>
            </a:solidFill>
            <a:ln w="25400">
              <a:noFill/>
            </a:ln>
            <a:effectLst/>
          </c:spPr>
          <c:cat>
            <c:strRef>
              <c:f>'Pivot report'!$G$6:$G$37</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report'!$H$6:$H$37</c:f>
              <c:numCache>
                <c:formatCode>0.00</c:formatCode>
                <c:ptCount val="31"/>
                <c:pt idx="0">
                  <c:v>36.4</c:v>
                </c:pt>
                <c:pt idx="1">
                  <c:v>33.357142857142854</c:v>
                </c:pt>
                <c:pt idx="2">
                  <c:v>38.200000000000003</c:v>
                </c:pt>
                <c:pt idx="3">
                  <c:v>37.611111111111114</c:v>
                </c:pt>
                <c:pt idx="4">
                  <c:v>29.210526315789473</c:v>
                </c:pt>
                <c:pt idx="5">
                  <c:v>37.266666666666666</c:v>
                </c:pt>
                <c:pt idx="6">
                  <c:v>34.133333333333333</c:v>
                </c:pt>
                <c:pt idx="7">
                  <c:v>38.6</c:v>
                </c:pt>
                <c:pt idx="8">
                  <c:v>36.05263157894737</c:v>
                </c:pt>
                <c:pt idx="9">
                  <c:v>39.833333333333336</c:v>
                </c:pt>
                <c:pt idx="10">
                  <c:v>34.700000000000003</c:v>
                </c:pt>
                <c:pt idx="11">
                  <c:v>41.055555555555557</c:v>
                </c:pt>
                <c:pt idx="12">
                  <c:v>36.950000000000003</c:v>
                </c:pt>
                <c:pt idx="13">
                  <c:v>38.18181818181818</c:v>
                </c:pt>
                <c:pt idx="14">
                  <c:v>30.9</c:v>
                </c:pt>
                <c:pt idx="15">
                  <c:v>27.571428571428573</c:v>
                </c:pt>
                <c:pt idx="16">
                  <c:v>33.18181818181818</c:v>
                </c:pt>
                <c:pt idx="17">
                  <c:v>34.28</c:v>
                </c:pt>
                <c:pt idx="18">
                  <c:v>39.764705882352942</c:v>
                </c:pt>
                <c:pt idx="19">
                  <c:v>31.954545454545453</c:v>
                </c:pt>
                <c:pt idx="20">
                  <c:v>30.166666666666668</c:v>
                </c:pt>
                <c:pt idx="21">
                  <c:v>36.875</c:v>
                </c:pt>
                <c:pt idx="22">
                  <c:v>38.714285714285715</c:v>
                </c:pt>
                <c:pt idx="23">
                  <c:v>31.923076923076923</c:v>
                </c:pt>
                <c:pt idx="24">
                  <c:v>29.6</c:v>
                </c:pt>
                <c:pt idx="25">
                  <c:v>31.666666666666668</c:v>
                </c:pt>
                <c:pt idx="26">
                  <c:v>42.6</c:v>
                </c:pt>
                <c:pt idx="27">
                  <c:v>33.799999999999997</c:v>
                </c:pt>
                <c:pt idx="28">
                  <c:v>40.555555555555557</c:v>
                </c:pt>
                <c:pt idx="29">
                  <c:v>26.75</c:v>
                </c:pt>
                <c:pt idx="30">
                  <c:v>35.049999999999997</c:v>
                </c:pt>
              </c:numCache>
            </c:numRef>
          </c:val>
          <c:extLst>
            <c:ext xmlns:c16="http://schemas.microsoft.com/office/drawing/2014/chart" uri="{C3380CC4-5D6E-409C-BE32-E72D297353CC}">
              <c16:uniqueId val="{00000003-5085-4E69-8AD3-CA46F5BD92EB}"/>
            </c:ext>
          </c:extLst>
        </c:ser>
        <c:dLbls>
          <c:showLegendKey val="0"/>
          <c:showVal val="0"/>
          <c:showCatName val="0"/>
          <c:showSerName val="0"/>
          <c:showPercent val="0"/>
          <c:showBubbleSize val="0"/>
        </c:dLbls>
        <c:axId val="1630339759"/>
        <c:axId val="1630342159"/>
      </c:areaChart>
      <c:catAx>
        <c:axId val="1630339759"/>
        <c:scaling>
          <c:orientation val="minMax"/>
        </c:scaling>
        <c:delete val="1"/>
        <c:axPos val="b"/>
        <c:numFmt formatCode="General" sourceLinked="1"/>
        <c:majorTickMark val="out"/>
        <c:minorTickMark val="none"/>
        <c:tickLblPos val="nextTo"/>
        <c:crossAx val="1630342159"/>
        <c:crosses val="autoZero"/>
        <c:auto val="1"/>
        <c:lblAlgn val="ctr"/>
        <c:lblOffset val="100"/>
        <c:noMultiLvlLbl val="0"/>
      </c:catAx>
      <c:valAx>
        <c:axId val="1630342159"/>
        <c:scaling>
          <c:orientation val="minMax"/>
        </c:scaling>
        <c:delete val="1"/>
        <c:axPos val="l"/>
        <c:numFmt formatCode="0.00" sourceLinked="1"/>
        <c:majorTickMark val="none"/>
        <c:minorTickMark val="none"/>
        <c:tickLblPos val="nextTo"/>
        <c:crossAx val="16303397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emegency data analysis.xlsx]Pivot report!PivotTable6</c:name>
    <c:fmtId val="7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72124912957309E-3"/>
          <c:y val="0.20833333333333334"/>
          <c:w val="0.77531750063500116"/>
          <c:h val="0.79166666666666663"/>
        </c:manualLayout>
      </c:layout>
      <c:areaChart>
        <c:grouping val="standard"/>
        <c:varyColors val="0"/>
        <c:ser>
          <c:idx val="0"/>
          <c:order val="0"/>
          <c:tx>
            <c:strRef>
              <c:f>'Pivot report'!$K$37</c:f>
              <c:strCache>
                <c:ptCount val="1"/>
                <c:pt idx="0">
                  <c:v>Total</c:v>
                </c:pt>
              </c:strCache>
            </c:strRef>
          </c:tx>
          <c:spPr>
            <a:solidFill>
              <a:schemeClr val="accent1"/>
            </a:solidFill>
            <a:ln w="25400">
              <a:noFill/>
            </a:ln>
            <a:effectLst/>
          </c:spPr>
          <c:cat>
            <c:strRef>
              <c:f>'Pivot report'!$J$38:$J$69</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report'!$K$38:$K$69</c:f>
              <c:numCache>
                <c:formatCode>0.00</c:formatCode>
                <c:ptCount val="31"/>
                <c:pt idx="0">
                  <c:v>4.8</c:v>
                </c:pt>
                <c:pt idx="1">
                  <c:v>3.8</c:v>
                </c:pt>
                <c:pt idx="2">
                  <c:v>2.5</c:v>
                </c:pt>
                <c:pt idx="3">
                  <c:v>3.75</c:v>
                </c:pt>
                <c:pt idx="4">
                  <c:v>5.333333333333333</c:v>
                </c:pt>
                <c:pt idx="5">
                  <c:v>5.6</c:v>
                </c:pt>
                <c:pt idx="6">
                  <c:v>8.4</c:v>
                </c:pt>
                <c:pt idx="7">
                  <c:v>3</c:v>
                </c:pt>
                <c:pt idx="8">
                  <c:v>5</c:v>
                </c:pt>
                <c:pt idx="9">
                  <c:v>7</c:v>
                </c:pt>
                <c:pt idx="10">
                  <c:v>5.2857142857142856</c:v>
                </c:pt>
                <c:pt idx="11">
                  <c:v>3</c:v>
                </c:pt>
                <c:pt idx="12">
                  <c:v>4.5</c:v>
                </c:pt>
                <c:pt idx="13">
                  <c:v>6.25</c:v>
                </c:pt>
                <c:pt idx="14">
                  <c:v>5</c:v>
                </c:pt>
                <c:pt idx="15">
                  <c:v>6.8</c:v>
                </c:pt>
                <c:pt idx="16">
                  <c:v>5</c:v>
                </c:pt>
                <c:pt idx="17">
                  <c:v>4.7142857142857144</c:v>
                </c:pt>
                <c:pt idx="18">
                  <c:v>6.7142857142857144</c:v>
                </c:pt>
                <c:pt idx="19">
                  <c:v>1.5714285714285714</c:v>
                </c:pt>
                <c:pt idx="20">
                  <c:v>5.125</c:v>
                </c:pt>
                <c:pt idx="21">
                  <c:v>4.5</c:v>
                </c:pt>
                <c:pt idx="22">
                  <c:v>5.666666666666667</c:v>
                </c:pt>
                <c:pt idx="23">
                  <c:v>6.5</c:v>
                </c:pt>
                <c:pt idx="24">
                  <c:v>4.333333333333333</c:v>
                </c:pt>
                <c:pt idx="25">
                  <c:v>4</c:v>
                </c:pt>
                <c:pt idx="26">
                  <c:v>4.5</c:v>
                </c:pt>
                <c:pt idx="27">
                  <c:v>3.6666666666666665</c:v>
                </c:pt>
                <c:pt idx="28">
                  <c:v>3.2</c:v>
                </c:pt>
                <c:pt idx="29">
                  <c:v>2.6666666666666665</c:v>
                </c:pt>
                <c:pt idx="30">
                  <c:v>5</c:v>
                </c:pt>
              </c:numCache>
            </c:numRef>
          </c:val>
          <c:extLst>
            <c:ext xmlns:c16="http://schemas.microsoft.com/office/drawing/2014/chart" uri="{C3380CC4-5D6E-409C-BE32-E72D297353CC}">
              <c16:uniqueId val="{00000003-A3AD-4FDA-81E8-4872D87672E0}"/>
            </c:ext>
          </c:extLst>
        </c:ser>
        <c:dLbls>
          <c:showLegendKey val="0"/>
          <c:showVal val="0"/>
          <c:showCatName val="0"/>
          <c:showSerName val="0"/>
          <c:showPercent val="0"/>
          <c:showBubbleSize val="0"/>
        </c:dLbls>
        <c:axId val="1135489696"/>
        <c:axId val="1135490176"/>
      </c:areaChart>
      <c:catAx>
        <c:axId val="1135489696"/>
        <c:scaling>
          <c:orientation val="minMax"/>
        </c:scaling>
        <c:delete val="1"/>
        <c:axPos val="b"/>
        <c:numFmt formatCode="General" sourceLinked="1"/>
        <c:majorTickMark val="out"/>
        <c:minorTickMark val="none"/>
        <c:tickLblPos val="nextTo"/>
        <c:crossAx val="1135490176"/>
        <c:crosses val="autoZero"/>
        <c:auto val="1"/>
        <c:lblAlgn val="ctr"/>
        <c:lblOffset val="100"/>
        <c:noMultiLvlLbl val="0"/>
      </c:catAx>
      <c:valAx>
        <c:axId val="1135490176"/>
        <c:scaling>
          <c:orientation val="minMax"/>
        </c:scaling>
        <c:delete val="1"/>
        <c:axPos val="l"/>
        <c:numFmt formatCode="0.00" sourceLinked="1"/>
        <c:majorTickMark val="none"/>
        <c:minorTickMark val="none"/>
        <c:tickLblPos val="nextTo"/>
        <c:crossAx val="11354896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[hospital emegency data analysis.xlsx]Pivot report!PivotTable8</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797664265235336E-4"/>
          <c:y val="5.4712388050730271E-3"/>
          <c:w val="0.99354527559055117"/>
          <c:h val="0.76544397999632763"/>
        </c:manualLayout>
      </c:layout>
      <c:barChart>
        <c:barDir val="col"/>
        <c:grouping val="clustered"/>
        <c:varyColors val="0"/>
        <c:ser>
          <c:idx val="0"/>
          <c:order val="0"/>
          <c:tx>
            <c:strRef>
              <c:f>'Pivot report'!$B$48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report'!$A$49:$A$57</c:f>
              <c:strCache>
                <c:ptCount val="8"/>
                <c:pt idx="0">
                  <c:v>0-09</c:v>
                </c:pt>
                <c:pt idx="1">
                  <c:v>10-19</c:v>
                </c:pt>
                <c:pt idx="2">
                  <c:v>20-29</c:v>
                </c:pt>
                <c:pt idx="3">
                  <c:v>30-39</c:v>
                </c:pt>
                <c:pt idx="4">
                  <c:v>40-49</c:v>
                </c:pt>
                <c:pt idx="5">
                  <c:v>50-59</c:v>
                </c:pt>
                <c:pt idx="6">
                  <c:v>60-69</c:v>
                </c:pt>
                <c:pt idx="7">
                  <c:v>70-79</c:v>
                </c:pt>
              </c:strCache>
            </c:strRef>
          </c:cat>
          <c:val>
            <c:numRef>
              <c:f>'Pivot report'!$B$49:$B$57</c:f>
              <c:numCache>
                <c:formatCode>General</c:formatCode>
                <c:ptCount val="8"/>
                <c:pt idx="0">
                  <c:v>52</c:v>
                </c:pt>
                <c:pt idx="1">
                  <c:v>65</c:v>
                </c:pt>
                <c:pt idx="2">
                  <c:v>64</c:v>
                </c:pt>
                <c:pt idx="3">
                  <c:v>57</c:v>
                </c:pt>
                <c:pt idx="4">
                  <c:v>71</c:v>
                </c:pt>
                <c:pt idx="5">
                  <c:v>59</c:v>
                </c:pt>
                <c:pt idx="6">
                  <c:v>61</c:v>
                </c:pt>
                <c:pt idx="7">
                  <c:v>64</c:v>
                </c:pt>
              </c:numCache>
            </c:numRef>
          </c:val>
          <c:extLst>
            <c:ext xmlns:c16="http://schemas.microsoft.com/office/drawing/2014/chart" uri="{C3380CC4-5D6E-409C-BE32-E72D297353CC}">
              <c16:uniqueId val="{00000003-DBF0-4063-A777-62D91C0326DC}"/>
            </c:ext>
          </c:extLst>
        </c:ser>
        <c:dLbls>
          <c:dLblPos val="outEnd"/>
          <c:showLegendKey val="0"/>
          <c:showVal val="1"/>
          <c:showCatName val="0"/>
          <c:showSerName val="0"/>
          <c:showPercent val="0"/>
          <c:showBubbleSize val="0"/>
        </c:dLbls>
        <c:gapWidth val="219"/>
        <c:overlap val="-27"/>
        <c:axId val="1978019264"/>
        <c:axId val="1977997184"/>
      </c:barChart>
      <c:catAx>
        <c:axId val="197801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7997184"/>
        <c:crosses val="autoZero"/>
        <c:auto val="1"/>
        <c:lblAlgn val="ctr"/>
        <c:lblOffset val="100"/>
        <c:noMultiLvlLbl val="0"/>
      </c:catAx>
      <c:valAx>
        <c:axId val="1977997184"/>
        <c:scaling>
          <c:orientation val="minMax"/>
        </c:scaling>
        <c:delete val="1"/>
        <c:axPos val="l"/>
        <c:numFmt formatCode="General" sourceLinked="1"/>
        <c:majorTickMark val="none"/>
        <c:minorTickMark val="none"/>
        <c:tickLblPos val="nextTo"/>
        <c:crossAx val="1978019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emegency data analysis.xlsx]Pivot report!PivotTable9</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8033796033227806"/>
          <c:y val="0.17150583687499313"/>
          <c:w val="0.59453644325387167"/>
          <c:h val="0.72389165266475586"/>
        </c:manualLayout>
      </c:layout>
      <c:pieChart>
        <c:varyColors val="1"/>
        <c:ser>
          <c:idx val="0"/>
          <c:order val="0"/>
          <c:tx>
            <c:strRef>
              <c:f>'Pivot report'!$B$66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report'!$A$67:$A$69</c:f>
              <c:strCache>
                <c:ptCount val="2"/>
                <c:pt idx="0">
                  <c:v>Delay</c:v>
                </c:pt>
                <c:pt idx="1">
                  <c:v>Ontime</c:v>
                </c:pt>
              </c:strCache>
            </c:strRef>
          </c:cat>
          <c:val>
            <c:numRef>
              <c:f>'Pivot report'!$B$67:$B$69</c:f>
              <c:numCache>
                <c:formatCode>General</c:formatCode>
                <c:ptCount val="2"/>
                <c:pt idx="0">
                  <c:v>281</c:v>
                </c:pt>
                <c:pt idx="1">
                  <c:v>212</c:v>
                </c:pt>
              </c:numCache>
            </c:numRef>
          </c:val>
          <c:extLst>
            <c:ext xmlns:c16="http://schemas.microsoft.com/office/drawing/2014/chart" uri="{C3380CC4-5D6E-409C-BE32-E72D297353CC}">
              <c16:uniqueId val="{00000007-49C9-47D0-B525-99FAEB04F57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095990084572762"/>
          <c:y val="4.0791267370648435E-2"/>
          <c:w val="0.32442793877569426"/>
          <c:h val="0.28596294710023173"/>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emegency data analysis.xlsx]Pivot report!PivotTable10</c:name>
    <c:fmtId val="34"/>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5623130150689205"/>
          <c:y val="0.15056776375756378"/>
          <c:w val="0.54156250573573406"/>
          <c:h val="0.64806224535740564"/>
        </c:manualLayout>
      </c:layout>
      <c:doughnutChart>
        <c:varyColors val="1"/>
        <c:ser>
          <c:idx val="0"/>
          <c:order val="0"/>
          <c:tx>
            <c:strRef>
              <c:f>'Pivot report'!$B$73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report'!$A$74:$A$76</c:f>
              <c:strCache>
                <c:ptCount val="2"/>
                <c:pt idx="0">
                  <c:v>Female</c:v>
                </c:pt>
                <c:pt idx="1">
                  <c:v>Male</c:v>
                </c:pt>
              </c:strCache>
            </c:strRef>
          </c:cat>
          <c:val>
            <c:numRef>
              <c:f>'Pivot report'!$B$74:$B$76</c:f>
              <c:numCache>
                <c:formatCode>General</c:formatCode>
                <c:ptCount val="2"/>
                <c:pt idx="0">
                  <c:v>248</c:v>
                </c:pt>
                <c:pt idx="1">
                  <c:v>245</c:v>
                </c:pt>
              </c:numCache>
            </c:numRef>
          </c:val>
          <c:extLst>
            <c:ext xmlns:c16="http://schemas.microsoft.com/office/drawing/2014/chart" uri="{C3380CC4-5D6E-409C-BE32-E72D297353CC}">
              <c16:uniqueId val="{00000007-53E3-41C8-8796-4531F1516C0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6.5206578198704193E-2"/>
          <c:y val="3.2985756487552025E-2"/>
          <c:w val="0.32287364866105023"/>
          <c:h val="0.28596294710023173"/>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emegency data analysis.xlsx]Pivot report!PivotTable11</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report'!$B$79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report'!$A$80:$A$88</c:f>
              <c:strCache>
                <c:ptCount val="8"/>
                <c:pt idx="0">
                  <c:v>Gastroenterology</c:v>
                </c:pt>
                <c:pt idx="1">
                  <c:v>Renal</c:v>
                </c:pt>
                <c:pt idx="2">
                  <c:v>Cardiology</c:v>
                </c:pt>
                <c:pt idx="3">
                  <c:v>Neurology</c:v>
                </c:pt>
                <c:pt idx="4">
                  <c:v>Physiotherapy</c:v>
                </c:pt>
                <c:pt idx="5">
                  <c:v>Orthopedics</c:v>
                </c:pt>
                <c:pt idx="6">
                  <c:v>General Practice</c:v>
                </c:pt>
                <c:pt idx="7">
                  <c:v>None</c:v>
                </c:pt>
              </c:strCache>
            </c:strRef>
          </c:cat>
          <c:val>
            <c:numRef>
              <c:f>'Pivot report'!$B$80:$B$88</c:f>
              <c:numCache>
                <c:formatCode>General</c:formatCode>
                <c:ptCount val="8"/>
                <c:pt idx="0">
                  <c:v>9</c:v>
                </c:pt>
                <c:pt idx="1">
                  <c:v>9</c:v>
                </c:pt>
                <c:pt idx="2">
                  <c:v>10</c:v>
                </c:pt>
                <c:pt idx="3">
                  <c:v>11</c:v>
                </c:pt>
                <c:pt idx="4">
                  <c:v>15</c:v>
                </c:pt>
                <c:pt idx="5">
                  <c:v>61</c:v>
                </c:pt>
                <c:pt idx="6">
                  <c:v>96</c:v>
                </c:pt>
                <c:pt idx="7">
                  <c:v>282</c:v>
                </c:pt>
              </c:numCache>
            </c:numRef>
          </c:val>
          <c:extLst>
            <c:ext xmlns:c16="http://schemas.microsoft.com/office/drawing/2014/chart" uri="{C3380CC4-5D6E-409C-BE32-E72D297353CC}">
              <c16:uniqueId val="{00000003-A033-4169-BC56-3791CA51E1EB}"/>
            </c:ext>
          </c:extLst>
        </c:ser>
        <c:dLbls>
          <c:dLblPos val="outEnd"/>
          <c:showLegendKey val="0"/>
          <c:showVal val="1"/>
          <c:showCatName val="0"/>
          <c:showSerName val="0"/>
          <c:showPercent val="0"/>
          <c:showBubbleSize val="0"/>
        </c:dLbls>
        <c:gapWidth val="30"/>
        <c:axId val="2037049024"/>
        <c:axId val="2037039424"/>
      </c:barChart>
      <c:catAx>
        <c:axId val="2037049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037039424"/>
        <c:crosses val="autoZero"/>
        <c:auto val="1"/>
        <c:lblAlgn val="ctr"/>
        <c:lblOffset val="100"/>
        <c:noMultiLvlLbl val="0"/>
      </c:catAx>
      <c:valAx>
        <c:axId val="2037039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3704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emegency data analysis.xlsx]Pivot report!PivotTable6</c:name>
    <c:fmtId val="7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6.0206111119108278E-2"/>
          <c:y val="5.5844646574350613E-2"/>
          <c:w val="0.92077947361137502"/>
          <c:h val="0.71023345765989787"/>
        </c:manualLayout>
      </c:layout>
      <c:areaChart>
        <c:grouping val="standard"/>
        <c:varyColors val="0"/>
        <c:ser>
          <c:idx val="0"/>
          <c:order val="0"/>
          <c:tx>
            <c:strRef>
              <c:f>'Pivot report'!$K$37</c:f>
              <c:strCache>
                <c:ptCount val="1"/>
                <c:pt idx="0">
                  <c:v>Total</c:v>
                </c:pt>
              </c:strCache>
            </c:strRef>
          </c:tx>
          <c:spPr>
            <a:solidFill>
              <a:schemeClr val="accent1"/>
            </a:solidFill>
            <a:ln w="25400">
              <a:noFill/>
            </a:ln>
            <a:effectLst/>
          </c:spPr>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report'!$J$38:$J$69</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report'!$K$38:$K$69</c:f>
              <c:numCache>
                <c:formatCode>0.00</c:formatCode>
                <c:ptCount val="31"/>
                <c:pt idx="0">
                  <c:v>4.8</c:v>
                </c:pt>
                <c:pt idx="1">
                  <c:v>3.8</c:v>
                </c:pt>
                <c:pt idx="2">
                  <c:v>2.5</c:v>
                </c:pt>
                <c:pt idx="3">
                  <c:v>3.75</c:v>
                </c:pt>
                <c:pt idx="4">
                  <c:v>5.333333333333333</c:v>
                </c:pt>
                <c:pt idx="5">
                  <c:v>5.6</c:v>
                </c:pt>
                <c:pt idx="6">
                  <c:v>8.4</c:v>
                </c:pt>
                <c:pt idx="7">
                  <c:v>3</c:v>
                </c:pt>
                <c:pt idx="8">
                  <c:v>5</c:v>
                </c:pt>
                <c:pt idx="9">
                  <c:v>7</c:v>
                </c:pt>
                <c:pt idx="10">
                  <c:v>5.2857142857142856</c:v>
                </c:pt>
                <c:pt idx="11">
                  <c:v>3</c:v>
                </c:pt>
                <c:pt idx="12">
                  <c:v>4.5</c:v>
                </c:pt>
                <c:pt idx="13">
                  <c:v>6.25</c:v>
                </c:pt>
                <c:pt idx="14">
                  <c:v>5</c:v>
                </c:pt>
                <c:pt idx="15">
                  <c:v>6.8</c:v>
                </c:pt>
                <c:pt idx="16">
                  <c:v>5</c:v>
                </c:pt>
                <c:pt idx="17">
                  <c:v>4.7142857142857144</c:v>
                </c:pt>
                <c:pt idx="18">
                  <c:v>6.7142857142857144</c:v>
                </c:pt>
                <c:pt idx="19">
                  <c:v>1.5714285714285714</c:v>
                </c:pt>
                <c:pt idx="20">
                  <c:v>5.125</c:v>
                </c:pt>
                <c:pt idx="21">
                  <c:v>4.5</c:v>
                </c:pt>
                <c:pt idx="22">
                  <c:v>5.666666666666667</c:v>
                </c:pt>
                <c:pt idx="23">
                  <c:v>6.5</c:v>
                </c:pt>
                <c:pt idx="24">
                  <c:v>4.333333333333333</c:v>
                </c:pt>
                <c:pt idx="25">
                  <c:v>4</c:v>
                </c:pt>
                <c:pt idx="26">
                  <c:v>4.5</c:v>
                </c:pt>
                <c:pt idx="27">
                  <c:v>3.6666666666666665</c:v>
                </c:pt>
                <c:pt idx="28">
                  <c:v>3.2</c:v>
                </c:pt>
                <c:pt idx="29">
                  <c:v>2.6666666666666665</c:v>
                </c:pt>
                <c:pt idx="30">
                  <c:v>5</c:v>
                </c:pt>
              </c:numCache>
            </c:numRef>
          </c:val>
          <c:extLst>
            <c:ext xmlns:c16="http://schemas.microsoft.com/office/drawing/2014/chart" uri="{C3380CC4-5D6E-409C-BE32-E72D297353CC}">
              <c16:uniqueId val="{00000002-3CD8-495F-8B0A-F2B32FB680A1}"/>
            </c:ext>
          </c:extLst>
        </c:ser>
        <c:dLbls>
          <c:showLegendKey val="0"/>
          <c:showVal val="0"/>
          <c:showCatName val="0"/>
          <c:showSerName val="0"/>
          <c:showPercent val="0"/>
          <c:showBubbleSize val="0"/>
        </c:dLbls>
        <c:axId val="1135489696"/>
        <c:axId val="1135490176"/>
      </c:areaChart>
      <c:catAx>
        <c:axId val="1135489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490176"/>
        <c:crosses val="autoZero"/>
        <c:auto val="1"/>
        <c:lblAlgn val="ctr"/>
        <c:lblOffset val="100"/>
        <c:noMultiLvlLbl val="0"/>
      </c:catAx>
      <c:valAx>
        <c:axId val="1135490176"/>
        <c:scaling>
          <c:orientation val="minMax"/>
        </c:scaling>
        <c:delete val="1"/>
        <c:axPos val="l"/>
        <c:numFmt formatCode="0.00" sourceLinked="1"/>
        <c:majorTickMark val="out"/>
        <c:minorTickMark val="none"/>
        <c:tickLblPos val="nextTo"/>
        <c:crossAx val="1135489696"/>
        <c:crosses val="autoZero"/>
        <c:crossBetween val="midCat"/>
      </c:valAx>
      <c:dTable>
        <c:showHorzBorder val="1"/>
        <c:showVertBorder val="1"/>
        <c:showOutline val="1"/>
        <c:showKeys val="1"/>
        <c:spPr>
          <a:noFill/>
          <a:ln w="9525" cap="flat" cmpd="sng" algn="ctr">
            <a:solidFill>
              <a:schemeClr val="accent1">
                <a:shade val="1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a:glow>
            <a:schemeClr val="accent1">
              <a:alpha val="40000"/>
            </a:schemeClr>
          </a:glow>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emegency data analysis.xlsx]Pivot report!PivotTable5</c:name>
    <c:fmtId val="6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971740013363556E-2"/>
          <c:y val="5.0750872635765894E-2"/>
          <c:w val="0.88993846651032171"/>
          <c:h val="0.84955240775315466"/>
        </c:manualLayout>
      </c:layout>
      <c:areaChart>
        <c:grouping val="standard"/>
        <c:varyColors val="0"/>
        <c:ser>
          <c:idx val="0"/>
          <c:order val="0"/>
          <c:tx>
            <c:strRef>
              <c:f>'Pivot report'!$H$5</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report'!$G$6:$G$37</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report'!$H$6:$H$37</c:f>
              <c:numCache>
                <c:formatCode>0.00</c:formatCode>
                <c:ptCount val="31"/>
                <c:pt idx="0">
                  <c:v>36.4</c:v>
                </c:pt>
                <c:pt idx="1">
                  <c:v>33.357142857142854</c:v>
                </c:pt>
                <c:pt idx="2">
                  <c:v>38.200000000000003</c:v>
                </c:pt>
                <c:pt idx="3">
                  <c:v>37.611111111111114</c:v>
                </c:pt>
                <c:pt idx="4">
                  <c:v>29.210526315789473</c:v>
                </c:pt>
                <c:pt idx="5">
                  <c:v>37.266666666666666</c:v>
                </c:pt>
                <c:pt idx="6">
                  <c:v>34.133333333333333</c:v>
                </c:pt>
                <c:pt idx="7">
                  <c:v>38.6</c:v>
                </c:pt>
                <c:pt idx="8">
                  <c:v>36.05263157894737</c:v>
                </c:pt>
                <c:pt idx="9">
                  <c:v>39.833333333333336</c:v>
                </c:pt>
                <c:pt idx="10">
                  <c:v>34.700000000000003</c:v>
                </c:pt>
                <c:pt idx="11">
                  <c:v>41.055555555555557</c:v>
                </c:pt>
                <c:pt idx="12">
                  <c:v>36.950000000000003</c:v>
                </c:pt>
                <c:pt idx="13">
                  <c:v>38.18181818181818</c:v>
                </c:pt>
                <c:pt idx="14">
                  <c:v>30.9</c:v>
                </c:pt>
                <c:pt idx="15">
                  <c:v>27.571428571428573</c:v>
                </c:pt>
                <c:pt idx="16">
                  <c:v>33.18181818181818</c:v>
                </c:pt>
                <c:pt idx="17">
                  <c:v>34.28</c:v>
                </c:pt>
                <c:pt idx="18">
                  <c:v>39.764705882352942</c:v>
                </c:pt>
                <c:pt idx="19">
                  <c:v>31.954545454545453</c:v>
                </c:pt>
                <c:pt idx="20">
                  <c:v>30.166666666666668</c:v>
                </c:pt>
                <c:pt idx="21">
                  <c:v>36.875</c:v>
                </c:pt>
                <c:pt idx="22">
                  <c:v>38.714285714285715</c:v>
                </c:pt>
                <c:pt idx="23">
                  <c:v>31.923076923076923</c:v>
                </c:pt>
                <c:pt idx="24">
                  <c:v>29.6</c:v>
                </c:pt>
                <c:pt idx="25">
                  <c:v>31.666666666666668</c:v>
                </c:pt>
                <c:pt idx="26">
                  <c:v>42.6</c:v>
                </c:pt>
                <c:pt idx="27">
                  <c:v>33.799999999999997</c:v>
                </c:pt>
                <c:pt idx="28">
                  <c:v>40.555555555555557</c:v>
                </c:pt>
                <c:pt idx="29">
                  <c:v>26.75</c:v>
                </c:pt>
                <c:pt idx="30">
                  <c:v>35.049999999999997</c:v>
                </c:pt>
              </c:numCache>
            </c:numRef>
          </c:val>
          <c:extLst>
            <c:ext xmlns:c16="http://schemas.microsoft.com/office/drawing/2014/chart" uri="{C3380CC4-5D6E-409C-BE32-E72D297353CC}">
              <c16:uniqueId val="{00000002-0C2B-4C27-B4E7-932879C36B9E}"/>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630339759"/>
        <c:axId val="1630342159"/>
      </c:areaChart>
      <c:catAx>
        <c:axId val="163033975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630342159"/>
        <c:crosses val="autoZero"/>
        <c:auto val="1"/>
        <c:lblAlgn val="ctr"/>
        <c:lblOffset val="100"/>
        <c:noMultiLvlLbl val="0"/>
      </c:catAx>
      <c:valAx>
        <c:axId val="163034215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crossAx val="16303397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 emegency data analysis.xlsx]Pivot report!PivotTable4</c:name>
    <c:fmtId val="3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45567954153661"/>
          <c:y val="2.6990909672876252E-2"/>
          <c:w val="0.86547207209305932"/>
          <c:h val="0.7861620164962676"/>
        </c:manualLayout>
      </c:layout>
      <c:areaChart>
        <c:grouping val="standard"/>
        <c:varyColors val="0"/>
        <c:ser>
          <c:idx val="0"/>
          <c:order val="0"/>
          <c:tx>
            <c:strRef>
              <c:f>'Pivot report'!$E$4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report'!$D$5:$D$36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report'!$E$5:$E$36</c:f>
              <c:numCache>
                <c:formatCode>General</c:formatCode>
                <c:ptCount val="31"/>
                <c:pt idx="0">
                  <c:v>15</c:v>
                </c:pt>
                <c:pt idx="1">
                  <c:v>14</c:v>
                </c:pt>
                <c:pt idx="2">
                  <c:v>15</c:v>
                </c:pt>
                <c:pt idx="3">
                  <c:v>18</c:v>
                </c:pt>
                <c:pt idx="4">
                  <c:v>19</c:v>
                </c:pt>
                <c:pt idx="5">
                  <c:v>15</c:v>
                </c:pt>
                <c:pt idx="6">
                  <c:v>15</c:v>
                </c:pt>
                <c:pt idx="7">
                  <c:v>10</c:v>
                </c:pt>
                <c:pt idx="8">
                  <c:v>19</c:v>
                </c:pt>
                <c:pt idx="9">
                  <c:v>12</c:v>
                </c:pt>
                <c:pt idx="10">
                  <c:v>20</c:v>
                </c:pt>
                <c:pt idx="11">
                  <c:v>18</c:v>
                </c:pt>
                <c:pt idx="12">
                  <c:v>20</c:v>
                </c:pt>
                <c:pt idx="13">
                  <c:v>11</c:v>
                </c:pt>
                <c:pt idx="14">
                  <c:v>10</c:v>
                </c:pt>
                <c:pt idx="15">
                  <c:v>14</c:v>
                </c:pt>
                <c:pt idx="16">
                  <c:v>11</c:v>
                </c:pt>
                <c:pt idx="17">
                  <c:v>25</c:v>
                </c:pt>
                <c:pt idx="18">
                  <c:v>17</c:v>
                </c:pt>
                <c:pt idx="19">
                  <c:v>22</c:v>
                </c:pt>
                <c:pt idx="20">
                  <c:v>18</c:v>
                </c:pt>
                <c:pt idx="21">
                  <c:v>16</c:v>
                </c:pt>
                <c:pt idx="22">
                  <c:v>14</c:v>
                </c:pt>
                <c:pt idx="23">
                  <c:v>13</c:v>
                </c:pt>
                <c:pt idx="24">
                  <c:v>15</c:v>
                </c:pt>
                <c:pt idx="25">
                  <c:v>18</c:v>
                </c:pt>
                <c:pt idx="26">
                  <c:v>10</c:v>
                </c:pt>
                <c:pt idx="27">
                  <c:v>15</c:v>
                </c:pt>
                <c:pt idx="28">
                  <c:v>18</c:v>
                </c:pt>
                <c:pt idx="29">
                  <c:v>16</c:v>
                </c:pt>
                <c:pt idx="30">
                  <c:v>20</c:v>
                </c:pt>
              </c:numCache>
            </c:numRef>
          </c:val>
          <c:extLst>
            <c:ext xmlns:c16="http://schemas.microsoft.com/office/drawing/2014/chart" uri="{C3380CC4-5D6E-409C-BE32-E72D297353CC}">
              <c16:uniqueId val="{00000002-41FB-4E32-BBCB-97F1150E08AF}"/>
            </c:ext>
          </c:extLst>
        </c:ser>
        <c:dLbls>
          <c:showLegendKey val="0"/>
          <c:showVal val="1"/>
          <c:showCatName val="0"/>
          <c:showSerName val="0"/>
          <c:showPercent val="0"/>
          <c:showBubbleSize val="0"/>
        </c:dLbls>
        <c:axId val="34060015"/>
        <c:axId val="34053775"/>
      </c:areaChart>
      <c:catAx>
        <c:axId val="3406001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4053775"/>
        <c:crosses val="autoZero"/>
        <c:auto val="1"/>
        <c:lblAlgn val="ctr"/>
        <c:lblOffset val="100"/>
        <c:noMultiLvlLbl val="0"/>
      </c:catAx>
      <c:valAx>
        <c:axId val="3405377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4060015"/>
        <c:crosses val="autoZero"/>
        <c:crossBetween val="midCat"/>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zero"/>
    <c:showDLblsOverMax val="0"/>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mergency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patient satisfication 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4.svg"/><Relationship Id="rId2" Type="http://schemas.openxmlformats.org/officeDocument/2006/relationships/image" Target="../media/image13.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2</xdr:col>
      <xdr:colOff>1112520</xdr:colOff>
      <xdr:row>60</xdr:row>
      <xdr:rowOff>72390</xdr:rowOff>
    </xdr:from>
    <xdr:to>
      <xdr:col>3</xdr:col>
      <xdr:colOff>723900</xdr:colOff>
      <xdr:row>63</xdr:row>
      <xdr:rowOff>114300</xdr:rowOff>
    </xdr:to>
    <xdr:graphicFrame macro="">
      <xdr:nvGraphicFramePr>
        <xdr:cNvPr id="3" name="Chart 2">
          <a:extLst>
            <a:ext uri="{FF2B5EF4-FFF2-40B4-BE49-F238E27FC236}">
              <a16:creationId xmlns:a16="http://schemas.microsoft.com/office/drawing/2014/main" id="{696D4027-BC34-4F31-2E50-146C78CC72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99060</xdr:colOff>
      <xdr:row>0</xdr:row>
      <xdr:rowOff>106680</xdr:rowOff>
    </xdr:from>
    <xdr:to>
      <xdr:col>9</xdr:col>
      <xdr:colOff>426720</xdr:colOff>
      <xdr:row>5</xdr:row>
      <xdr:rowOff>30480</xdr:rowOff>
    </xdr:to>
    <xdr:sp macro="" textlink="">
      <xdr:nvSpPr>
        <xdr:cNvPr id="2" name="Rectangle: Rounded Corners 1">
          <a:extLst>
            <a:ext uri="{FF2B5EF4-FFF2-40B4-BE49-F238E27FC236}">
              <a16:creationId xmlns:a16="http://schemas.microsoft.com/office/drawing/2014/main" id="{42AFF6F6-A378-1F88-26E6-39B4BB1AB716}"/>
            </a:ext>
          </a:extLst>
        </xdr:cNvPr>
        <xdr:cNvSpPr/>
      </xdr:nvSpPr>
      <xdr:spPr>
        <a:xfrm>
          <a:off x="99060" y="106680"/>
          <a:ext cx="5814060" cy="838200"/>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502920</xdr:colOff>
      <xdr:row>0</xdr:row>
      <xdr:rowOff>99060</xdr:rowOff>
    </xdr:from>
    <xdr:to>
      <xdr:col>14</xdr:col>
      <xdr:colOff>274320</xdr:colOff>
      <xdr:row>5</xdr:row>
      <xdr:rowOff>22860</xdr:rowOff>
    </xdr:to>
    <xdr:sp macro="" textlink="">
      <xdr:nvSpPr>
        <xdr:cNvPr id="3" name="Rectangle: Rounded Corners 2">
          <a:extLst>
            <a:ext uri="{FF2B5EF4-FFF2-40B4-BE49-F238E27FC236}">
              <a16:creationId xmlns:a16="http://schemas.microsoft.com/office/drawing/2014/main" id="{D20470BD-E6CE-7EF5-A8D1-C7F649F511E9}"/>
            </a:ext>
          </a:extLst>
        </xdr:cNvPr>
        <xdr:cNvSpPr/>
      </xdr:nvSpPr>
      <xdr:spPr>
        <a:xfrm>
          <a:off x="5989320" y="99060"/>
          <a:ext cx="2819400" cy="838200"/>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14</xdr:col>
      <xdr:colOff>327660</xdr:colOff>
      <xdr:row>0</xdr:row>
      <xdr:rowOff>60960</xdr:rowOff>
    </xdr:from>
    <xdr:to>
      <xdr:col>18</xdr:col>
      <xdr:colOff>502920</xdr:colOff>
      <xdr:row>11</xdr:row>
      <xdr:rowOff>7620</xdr:rowOff>
    </xdr:to>
    <xdr:sp macro="" textlink="">
      <xdr:nvSpPr>
        <xdr:cNvPr id="4" name="Rectangle: Rounded Corners 3">
          <a:extLst>
            <a:ext uri="{FF2B5EF4-FFF2-40B4-BE49-F238E27FC236}">
              <a16:creationId xmlns:a16="http://schemas.microsoft.com/office/drawing/2014/main" id="{B3F84250-B768-1A34-7F7D-4FA7B989A7DA}"/>
            </a:ext>
          </a:extLst>
        </xdr:cNvPr>
        <xdr:cNvSpPr/>
      </xdr:nvSpPr>
      <xdr:spPr>
        <a:xfrm>
          <a:off x="8862060" y="60960"/>
          <a:ext cx="2613660" cy="1958340"/>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18</xdr:col>
      <xdr:colOff>541020</xdr:colOff>
      <xdr:row>0</xdr:row>
      <xdr:rowOff>60960</xdr:rowOff>
    </xdr:from>
    <xdr:to>
      <xdr:col>23</xdr:col>
      <xdr:colOff>60960</xdr:colOff>
      <xdr:row>11</xdr:row>
      <xdr:rowOff>15240</xdr:rowOff>
    </xdr:to>
    <xdr:sp macro="" textlink="">
      <xdr:nvSpPr>
        <xdr:cNvPr id="5" name="Rectangle: Rounded Corners 4">
          <a:extLst>
            <a:ext uri="{FF2B5EF4-FFF2-40B4-BE49-F238E27FC236}">
              <a16:creationId xmlns:a16="http://schemas.microsoft.com/office/drawing/2014/main" id="{BAAFE538-C9E2-13C4-7A46-546692039856}"/>
            </a:ext>
          </a:extLst>
        </xdr:cNvPr>
        <xdr:cNvSpPr/>
      </xdr:nvSpPr>
      <xdr:spPr>
        <a:xfrm>
          <a:off x="11513820" y="60960"/>
          <a:ext cx="2567940" cy="1965960"/>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45720</xdr:colOff>
      <xdr:row>5</xdr:row>
      <xdr:rowOff>60960</xdr:rowOff>
    </xdr:from>
    <xdr:to>
      <xdr:col>3</xdr:col>
      <xdr:colOff>0</xdr:colOff>
      <xdr:row>28</xdr:row>
      <xdr:rowOff>15240</xdr:rowOff>
    </xdr:to>
    <xdr:sp macro="" textlink="">
      <xdr:nvSpPr>
        <xdr:cNvPr id="7" name="Rectangle: Rounded Corners 6">
          <a:extLst>
            <a:ext uri="{FF2B5EF4-FFF2-40B4-BE49-F238E27FC236}">
              <a16:creationId xmlns:a16="http://schemas.microsoft.com/office/drawing/2014/main" id="{FDFEC248-0032-C772-D137-C14B57985E9E}"/>
            </a:ext>
          </a:extLst>
        </xdr:cNvPr>
        <xdr:cNvSpPr/>
      </xdr:nvSpPr>
      <xdr:spPr>
        <a:xfrm>
          <a:off x="45720" y="975360"/>
          <a:ext cx="1783080" cy="4160520"/>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106680</xdr:colOff>
      <xdr:row>5</xdr:row>
      <xdr:rowOff>60960</xdr:rowOff>
    </xdr:from>
    <xdr:to>
      <xdr:col>7</xdr:col>
      <xdr:colOff>137160</xdr:colOff>
      <xdr:row>11</xdr:row>
      <xdr:rowOff>76200</xdr:rowOff>
    </xdr:to>
    <xdr:sp macro="" textlink="">
      <xdr:nvSpPr>
        <xdr:cNvPr id="8" name="Rectangle: Rounded Corners 7">
          <a:extLst>
            <a:ext uri="{FF2B5EF4-FFF2-40B4-BE49-F238E27FC236}">
              <a16:creationId xmlns:a16="http://schemas.microsoft.com/office/drawing/2014/main" id="{87B58870-3603-8455-4170-E4A2903238EE}"/>
            </a:ext>
          </a:extLst>
        </xdr:cNvPr>
        <xdr:cNvSpPr/>
      </xdr:nvSpPr>
      <xdr:spPr>
        <a:xfrm>
          <a:off x="1935480" y="975360"/>
          <a:ext cx="2468880" cy="1112520"/>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190500</xdr:colOff>
      <xdr:row>5</xdr:row>
      <xdr:rowOff>60960</xdr:rowOff>
    </xdr:from>
    <xdr:to>
      <xdr:col>11</xdr:col>
      <xdr:colOff>22860</xdr:colOff>
      <xdr:row>11</xdr:row>
      <xdr:rowOff>68580</xdr:rowOff>
    </xdr:to>
    <xdr:sp macro="" textlink="">
      <xdr:nvSpPr>
        <xdr:cNvPr id="9" name="Rectangle: Rounded Corners 8">
          <a:extLst>
            <a:ext uri="{FF2B5EF4-FFF2-40B4-BE49-F238E27FC236}">
              <a16:creationId xmlns:a16="http://schemas.microsoft.com/office/drawing/2014/main" id="{F9CDA47E-887C-5AFA-5950-533806DDC201}"/>
            </a:ext>
          </a:extLst>
        </xdr:cNvPr>
        <xdr:cNvSpPr/>
      </xdr:nvSpPr>
      <xdr:spPr>
        <a:xfrm>
          <a:off x="4457700" y="975360"/>
          <a:ext cx="2270760" cy="1104900"/>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53340</xdr:colOff>
      <xdr:row>5</xdr:row>
      <xdr:rowOff>60960</xdr:rowOff>
    </xdr:from>
    <xdr:to>
      <xdr:col>14</xdr:col>
      <xdr:colOff>304800</xdr:colOff>
      <xdr:row>11</xdr:row>
      <xdr:rowOff>76200</xdr:rowOff>
    </xdr:to>
    <xdr:sp macro="" textlink="">
      <xdr:nvSpPr>
        <xdr:cNvPr id="10" name="Rectangle: Rounded Corners 9">
          <a:extLst>
            <a:ext uri="{FF2B5EF4-FFF2-40B4-BE49-F238E27FC236}">
              <a16:creationId xmlns:a16="http://schemas.microsoft.com/office/drawing/2014/main" id="{B17BF906-B442-E9B9-CC5F-346A48298307}"/>
            </a:ext>
          </a:extLst>
        </xdr:cNvPr>
        <xdr:cNvSpPr/>
      </xdr:nvSpPr>
      <xdr:spPr>
        <a:xfrm>
          <a:off x="6758940" y="975360"/>
          <a:ext cx="2080260" cy="1112520"/>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53340</xdr:colOff>
      <xdr:row>16</xdr:row>
      <xdr:rowOff>106680</xdr:rowOff>
    </xdr:from>
    <xdr:to>
      <xdr:col>13</xdr:col>
      <xdr:colOff>365760</xdr:colOff>
      <xdr:row>28</xdr:row>
      <xdr:rowOff>15240</xdr:rowOff>
    </xdr:to>
    <xdr:sp macro="" textlink="">
      <xdr:nvSpPr>
        <xdr:cNvPr id="15" name="Rectangle: Rounded Corners 14">
          <a:extLst>
            <a:ext uri="{FF2B5EF4-FFF2-40B4-BE49-F238E27FC236}">
              <a16:creationId xmlns:a16="http://schemas.microsoft.com/office/drawing/2014/main" id="{DDBE82E1-5125-AAA0-2D6A-030276E71DA2}"/>
            </a:ext>
          </a:extLst>
        </xdr:cNvPr>
        <xdr:cNvSpPr/>
      </xdr:nvSpPr>
      <xdr:spPr>
        <a:xfrm>
          <a:off x="1882140" y="3032760"/>
          <a:ext cx="6408420" cy="2103120"/>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68580</xdr:colOff>
      <xdr:row>12</xdr:row>
      <xdr:rowOff>7620</xdr:rowOff>
    </xdr:from>
    <xdr:to>
      <xdr:col>13</xdr:col>
      <xdr:colOff>350520</xdr:colOff>
      <xdr:row>16</xdr:row>
      <xdr:rowOff>45720</xdr:rowOff>
    </xdr:to>
    <xdr:sp macro="" textlink="">
      <xdr:nvSpPr>
        <xdr:cNvPr id="16" name="Rectangle: Rounded Corners 15">
          <a:extLst>
            <a:ext uri="{FF2B5EF4-FFF2-40B4-BE49-F238E27FC236}">
              <a16:creationId xmlns:a16="http://schemas.microsoft.com/office/drawing/2014/main" id="{B8E2E203-9B85-D563-A2A0-2CDBBEFBE048}"/>
            </a:ext>
          </a:extLst>
        </xdr:cNvPr>
        <xdr:cNvSpPr/>
      </xdr:nvSpPr>
      <xdr:spPr>
        <a:xfrm>
          <a:off x="1897380" y="2202180"/>
          <a:ext cx="6377940" cy="769620"/>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13</xdr:col>
      <xdr:colOff>449580</xdr:colOff>
      <xdr:row>11</xdr:row>
      <xdr:rowOff>60960</xdr:rowOff>
    </xdr:from>
    <xdr:to>
      <xdr:col>23</xdr:col>
      <xdr:colOff>76200</xdr:colOff>
      <xdr:row>28</xdr:row>
      <xdr:rowOff>45720</xdr:rowOff>
    </xdr:to>
    <xdr:sp macro="" textlink="">
      <xdr:nvSpPr>
        <xdr:cNvPr id="19" name="Rectangle: Rounded Corners 18">
          <a:extLst>
            <a:ext uri="{FF2B5EF4-FFF2-40B4-BE49-F238E27FC236}">
              <a16:creationId xmlns:a16="http://schemas.microsoft.com/office/drawing/2014/main" id="{FBBB8C5D-8F79-D797-1DD6-3C5EF8FA094E}"/>
            </a:ext>
          </a:extLst>
        </xdr:cNvPr>
        <xdr:cNvSpPr/>
      </xdr:nvSpPr>
      <xdr:spPr>
        <a:xfrm>
          <a:off x="8374380" y="2072640"/>
          <a:ext cx="5722620" cy="3093720"/>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388620</xdr:colOff>
      <xdr:row>1</xdr:row>
      <xdr:rowOff>129540</xdr:rowOff>
    </xdr:from>
    <xdr:to>
      <xdr:col>9</xdr:col>
      <xdr:colOff>281940</xdr:colOff>
      <xdr:row>4</xdr:row>
      <xdr:rowOff>60960</xdr:rowOff>
    </xdr:to>
    <xdr:sp macro="" textlink="">
      <xdr:nvSpPr>
        <xdr:cNvPr id="20" name="TextBox 19">
          <a:extLst>
            <a:ext uri="{FF2B5EF4-FFF2-40B4-BE49-F238E27FC236}">
              <a16:creationId xmlns:a16="http://schemas.microsoft.com/office/drawing/2014/main" id="{1829E393-3663-5086-E772-515FFCFC18FE}"/>
            </a:ext>
          </a:extLst>
        </xdr:cNvPr>
        <xdr:cNvSpPr txBox="1"/>
      </xdr:nvSpPr>
      <xdr:spPr>
        <a:xfrm>
          <a:off x="998220" y="312420"/>
          <a:ext cx="477012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1"/>
            <a:t>Hospital Emergency Room</a:t>
          </a:r>
          <a:r>
            <a:rPr lang="en-IN" sz="2000" b="1" baseline="0"/>
            <a:t> Dashboard</a:t>
          </a:r>
          <a:endParaRPr lang="en-IN" sz="2000" b="1"/>
        </a:p>
      </xdr:txBody>
    </xdr:sp>
    <xdr:clientData/>
  </xdr:twoCellAnchor>
  <xdr:twoCellAnchor editAs="oneCell">
    <xdr:from>
      <xdr:col>0</xdr:col>
      <xdr:colOff>137159</xdr:colOff>
      <xdr:row>0</xdr:row>
      <xdr:rowOff>91441</xdr:rowOff>
    </xdr:from>
    <xdr:to>
      <xdr:col>2</xdr:col>
      <xdr:colOff>30480</xdr:colOff>
      <xdr:row>4</xdr:row>
      <xdr:rowOff>175261</xdr:rowOff>
    </xdr:to>
    <xdr:pic>
      <xdr:nvPicPr>
        <xdr:cNvPr id="22" name="Picture 21">
          <a:extLst>
            <a:ext uri="{FF2B5EF4-FFF2-40B4-BE49-F238E27FC236}">
              <a16:creationId xmlns:a16="http://schemas.microsoft.com/office/drawing/2014/main" id="{ED57FE21-8230-5203-B870-A02635330F5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638" r="17032"/>
        <a:stretch>
          <a:fillRect/>
        </a:stretch>
      </xdr:blipFill>
      <xdr:spPr>
        <a:xfrm>
          <a:off x="137159" y="91441"/>
          <a:ext cx="1112521" cy="815340"/>
        </a:xfrm>
        <a:prstGeom prst="rect">
          <a:avLst/>
        </a:prstGeom>
      </xdr:spPr>
    </xdr:pic>
    <xdr:clientData/>
  </xdr:twoCellAnchor>
  <xdr:twoCellAnchor editAs="absolute">
    <xdr:from>
      <xdr:col>1</xdr:col>
      <xdr:colOff>579120</xdr:colOff>
      <xdr:row>3</xdr:row>
      <xdr:rowOff>53340</xdr:rowOff>
    </xdr:from>
    <xdr:to>
      <xdr:col>8</xdr:col>
      <xdr:colOff>495300</xdr:colOff>
      <xdr:row>4</xdr:row>
      <xdr:rowOff>152400</xdr:rowOff>
    </xdr:to>
    <xdr:sp macro="" textlink="">
      <xdr:nvSpPr>
        <xdr:cNvPr id="11" name="TextBox 10">
          <a:extLst>
            <a:ext uri="{FF2B5EF4-FFF2-40B4-BE49-F238E27FC236}">
              <a16:creationId xmlns:a16="http://schemas.microsoft.com/office/drawing/2014/main" id="{7F30BFDC-BA69-EB62-015B-8ACA7CBBDC3F}"/>
            </a:ext>
          </a:extLst>
        </xdr:cNvPr>
        <xdr:cNvSpPr txBox="1"/>
      </xdr:nvSpPr>
      <xdr:spPr>
        <a:xfrm>
          <a:off x="1188720" y="601980"/>
          <a:ext cx="41833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a:t>Monthly</a:t>
          </a:r>
          <a:r>
            <a:rPr lang="en-IN" sz="1400" b="1" baseline="0"/>
            <a:t> Report</a:t>
          </a:r>
          <a:endParaRPr lang="en-IN" sz="1400" b="1"/>
        </a:p>
      </xdr:txBody>
    </xdr:sp>
    <xdr:clientData/>
  </xdr:twoCellAnchor>
  <xdr:twoCellAnchor editAs="absolute">
    <xdr:from>
      <xdr:col>4</xdr:col>
      <xdr:colOff>7620</xdr:colOff>
      <xdr:row>7</xdr:row>
      <xdr:rowOff>144780</xdr:rowOff>
    </xdr:from>
    <xdr:to>
      <xdr:col>6</xdr:col>
      <xdr:colOff>320040</xdr:colOff>
      <xdr:row>9</xdr:row>
      <xdr:rowOff>0</xdr:rowOff>
    </xdr:to>
    <xdr:sp macro="" textlink="">
      <xdr:nvSpPr>
        <xdr:cNvPr id="12" name="TextBox 11">
          <a:extLst>
            <a:ext uri="{FF2B5EF4-FFF2-40B4-BE49-F238E27FC236}">
              <a16:creationId xmlns:a16="http://schemas.microsoft.com/office/drawing/2014/main" id="{F98F1AE3-8D4C-9AF3-8FCB-4FD5E80F274F}"/>
            </a:ext>
          </a:extLst>
        </xdr:cNvPr>
        <xdr:cNvSpPr txBox="1"/>
      </xdr:nvSpPr>
      <xdr:spPr>
        <a:xfrm>
          <a:off x="2446020" y="1424940"/>
          <a:ext cx="15316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1"/>
            <a:t>Monthly</a:t>
          </a:r>
          <a:r>
            <a:rPr lang="en-IN" sz="1600" b="1" baseline="0"/>
            <a:t> Report</a:t>
          </a:r>
          <a:endParaRPr lang="en-IN" sz="1600" b="1"/>
        </a:p>
      </xdr:txBody>
    </xdr:sp>
    <xdr:clientData/>
  </xdr:twoCellAnchor>
  <xdr:twoCellAnchor editAs="absolute">
    <xdr:from>
      <xdr:col>3</xdr:col>
      <xdr:colOff>91440</xdr:colOff>
      <xdr:row>5</xdr:row>
      <xdr:rowOff>83820</xdr:rowOff>
    </xdr:from>
    <xdr:to>
      <xdr:col>4</xdr:col>
      <xdr:colOff>304800</xdr:colOff>
      <xdr:row>6</xdr:row>
      <xdr:rowOff>175260</xdr:rowOff>
    </xdr:to>
    <xdr:sp macro="" textlink="'Pivot report'!A5">
      <xdr:nvSpPr>
        <xdr:cNvPr id="13" name="TextBox 12">
          <a:extLst>
            <a:ext uri="{FF2B5EF4-FFF2-40B4-BE49-F238E27FC236}">
              <a16:creationId xmlns:a16="http://schemas.microsoft.com/office/drawing/2014/main" id="{E0BA324F-90E1-DB5D-96BB-616BAF7C35CA}"/>
            </a:ext>
          </a:extLst>
        </xdr:cNvPr>
        <xdr:cNvSpPr txBox="1"/>
      </xdr:nvSpPr>
      <xdr:spPr>
        <a:xfrm>
          <a:off x="1920240" y="998220"/>
          <a:ext cx="8229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8BE3909-9F9C-47E3-938E-B5D76DC06D2E}" type="TxLink">
            <a:rPr lang="en-US" sz="2000" b="0" i="0" u="none" strike="noStrike">
              <a:solidFill>
                <a:srgbClr val="000000"/>
              </a:solidFill>
              <a:latin typeface="Calibri"/>
              <a:ea typeface="Calibri"/>
              <a:cs typeface="Calibri"/>
            </a:rPr>
            <a:pPr algn="ctr"/>
            <a:t>493</a:t>
          </a:fld>
          <a:endParaRPr lang="en-IN" sz="2000"/>
        </a:p>
      </xdr:txBody>
    </xdr:sp>
    <xdr:clientData/>
  </xdr:twoCellAnchor>
  <xdr:twoCellAnchor editAs="absolute">
    <xdr:from>
      <xdr:col>7</xdr:col>
      <xdr:colOff>487680</xdr:colOff>
      <xdr:row>7</xdr:row>
      <xdr:rowOff>99060</xdr:rowOff>
    </xdr:from>
    <xdr:to>
      <xdr:col>10</xdr:col>
      <xdr:colOff>15240</xdr:colOff>
      <xdr:row>8</xdr:row>
      <xdr:rowOff>160020</xdr:rowOff>
    </xdr:to>
    <xdr:sp macro="" textlink="">
      <xdr:nvSpPr>
        <xdr:cNvPr id="14" name="TextBox 13">
          <a:extLst>
            <a:ext uri="{FF2B5EF4-FFF2-40B4-BE49-F238E27FC236}">
              <a16:creationId xmlns:a16="http://schemas.microsoft.com/office/drawing/2014/main" id="{CBFE47A6-21AA-C4F9-99DF-697306CB4390}"/>
            </a:ext>
          </a:extLst>
        </xdr:cNvPr>
        <xdr:cNvSpPr txBox="1"/>
      </xdr:nvSpPr>
      <xdr:spPr>
        <a:xfrm>
          <a:off x="4754880" y="1379220"/>
          <a:ext cx="13563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1"/>
            <a:t>Average</a:t>
          </a:r>
          <a:r>
            <a:rPr lang="en-IN" sz="1050" b="1" baseline="0"/>
            <a:t> Wait Time</a:t>
          </a:r>
          <a:endParaRPr lang="en-IN" sz="1050" b="1"/>
        </a:p>
      </xdr:txBody>
    </xdr:sp>
    <xdr:clientData/>
  </xdr:twoCellAnchor>
  <xdr:twoCellAnchor editAs="absolute">
    <xdr:from>
      <xdr:col>7</xdr:col>
      <xdr:colOff>243840</xdr:colOff>
      <xdr:row>5</xdr:row>
      <xdr:rowOff>91440</xdr:rowOff>
    </xdr:from>
    <xdr:to>
      <xdr:col>8</xdr:col>
      <xdr:colOff>289560</xdr:colOff>
      <xdr:row>7</xdr:row>
      <xdr:rowOff>0</xdr:rowOff>
    </xdr:to>
    <xdr:sp macro="" textlink="'Pivot report'!A9">
      <xdr:nvSpPr>
        <xdr:cNvPr id="17" name="TextBox 16">
          <a:extLst>
            <a:ext uri="{FF2B5EF4-FFF2-40B4-BE49-F238E27FC236}">
              <a16:creationId xmlns:a16="http://schemas.microsoft.com/office/drawing/2014/main" id="{DD0CF6F8-E95E-0DA2-A2BE-BF9A6682CCA9}"/>
            </a:ext>
          </a:extLst>
        </xdr:cNvPr>
        <xdr:cNvSpPr txBox="1"/>
      </xdr:nvSpPr>
      <xdr:spPr>
        <a:xfrm>
          <a:off x="4511040" y="1005840"/>
          <a:ext cx="655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585859E-2596-49B5-8B76-DEEF09F0A0EF}" type="TxLink">
            <a:rPr lang="en-US" sz="2000" b="1" i="0" u="none" strike="noStrike">
              <a:solidFill>
                <a:srgbClr val="000000"/>
              </a:solidFill>
              <a:latin typeface="Calibri"/>
              <a:ea typeface="Calibri"/>
              <a:cs typeface="Calibri"/>
            </a:rPr>
            <a:pPr algn="ctr"/>
            <a:t>34.93</a:t>
          </a:fld>
          <a:endParaRPr lang="en-IN" sz="2000" b="1"/>
        </a:p>
      </xdr:txBody>
    </xdr:sp>
    <xdr:clientData/>
  </xdr:twoCellAnchor>
  <xdr:twoCellAnchor editAs="absolute">
    <xdr:from>
      <xdr:col>11</xdr:col>
      <xdr:colOff>259080</xdr:colOff>
      <xdr:row>7</xdr:row>
      <xdr:rowOff>137160</xdr:rowOff>
    </xdr:from>
    <xdr:to>
      <xdr:col>13</xdr:col>
      <xdr:colOff>533400</xdr:colOff>
      <xdr:row>8</xdr:row>
      <xdr:rowOff>152400</xdr:rowOff>
    </xdr:to>
    <xdr:sp macro="" textlink="">
      <xdr:nvSpPr>
        <xdr:cNvPr id="18" name="TextBox 17">
          <a:extLst>
            <a:ext uri="{FF2B5EF4-FFF2-40B4-BE49-F238E27FC236}">
              <a16:creationId xmlns:a16="http://schemas.microsoft.com/office/drawing/2014/main" id="{C931D5C0-90B9-F6EE-E3B6-3500FC987C4A}"/>
            </a:ext>
          </a:extLst>
        </xdr:cNvPr>
        <xdr:cNvSpPr txBox="1"/>
      </xdr:nvSpPr>
      <xdr:spPr>
        <a:xfrm>
          <a:off x="6964680" y="1417320"/>
          <a:ext cx="149352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50" b="1"/>
            <a:t>Patient Satisfaction</a:t>
          </a:r>
          <a:r>
            <a:rPr lang="en-IN" sz="1050" b="1" baseline="0"/>
            <a:t> Score</a:t>
          </a:r>
        </a:p>
        <a:p>
          <a:pPr algn="ctr"/>
          <a:endParaRPr lang="en-IN" sz="1050"/>
        </a:p>
      </xdr:txBody>
    </xdr:sp>
    <xdr:clientData/>
  </xdr:twoCellAnchor>
  <xdr:twoCellAnchor editAs="absolute">
    <xdr:from>
      <xdr:col>11</xdr:col>
      <xdr:colOff>137160</xdr:colOff>
      <xdr:row>5</xdr:row>
      <xdr:rowOff>129540</xdr:rowOff>
    </xdr:from>
    <xdr:to>
      <xdr:col>12</xdr:col>
      <xdr:colOff>121920</xdr:colOff>
      <xdr:row>7</xdr:row>
      <xdr:rowOff>38100</xdr:rowOff>
    </xdr:to>
    <xdr:sp macro="" textlink="'Pivot report'!A12">
      <xdr:nvSpPr>
        <xdr:cNvPr id="21" name="TextBox 20">
          <a:extLst>
            <a:ext uri="{FF2B5EF4-FFF2-40B4-BE49-F238E27FC236}">
              <a16:creationId xmlns:a16="http://schemas.microsoft.com/office/drawing/2014/main" id="{A4073A91-88DA-7149-3F33-3E65A6A9B8EA}"/>
            </a:ext>
          </a:extLst>
        </xdr:cNvPr>
        <xdr:cNvSpPr txBox="1"/>
      </xdr:nvSpPr>
      <xdr:spPr>
        <a:xfrm>
          <a:off x="6842760" y="1043940"/>
          <a:ext cx="5943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72B8D42-37C2-4D78-8AC0-26F99B656D9A}" type="TxLink">
            <a:rPr lang="en-US" sz="2000" b="1" i="0" u="none" strike="noStrike">
              <a:solidFill>
                <a:srgbClr val="000000"/>
              </a:solidFill>
              <a:latin typeface="Calibri"/>
              <a:ea typeface="Calibri"/>
              <a:cs typeface="Calibri"/>
            </a:rPr>
            <a:pPr algn="ctr"/>
            <a:t>4.74</a:t>
          </a:fld>
          <a:endParaRPr lang="en-IN" sz="2000" b="1"/>
        </a:p>
      </xdr:txBody>
    </xdr:sp>
    <xdr:clientData/>
  </xdr:twoCellAnchor>
  <xdr:twoCellAnchor editAs="oneCell">
    <xdr:from>
      <xdr:col>6</xdr:col>
      <xdr:colOff>324998</xdr:colOff>
      <xdr:row>5</xdr:row>
      <xdr:rowOff>122623</xdr:rowOff>
    </xdr:from>
    <xdr:to>
      <xdr:col>7</xdr:col>
      <xdr:colOff>45720</xdr:colOff>
      <xdr:row>7</xdr:row>
      <xdr:rowOff>87185</xdr:rowOff>
    </xdr:to>
    <xdr:pic>
      <xdr:nvPicPr>
        <xdr:cNvPr id="24" name="Graphic 23" descr="Male profile">
          <a:extLst>
            <a:ext uri="{FF2B5EF4-FFF2-40B4-BE49-F238E27FC236}">
              <a16:creationId xmlns:a16="http://schemas.microsoft.com/office/drawing/2014/main" id="{F2EEA977-9A03-9BA3-5A48-EA40F3C8364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982598" y="1037023"/>
          <a:ext cx="330322" cy="330322"/>
        </a:xfrm>
        <a:prstGeom prst="rect">
          <a:avLst/>
        </a:prstGeom>
      </xdr:spPr>
    </xdr:pic>
    <xdr:clientData/>
  </xdr:twoCellAnchor>
  <xdr:twoCellAnchor editAs="oneCell">
    <xdr:from>
      <xdr:col>13</xdr:col>
      <xdr:colOff>289560</xdr:colOff>
      <xdr:row>5</xdr:row>
      <xdr:rowOff>114300</xdr:rowOff>
    </xdr:from>
    <xdr:to>
      <xdr:col>14</xdr:col>
      <xdr:colOff>129540</xdr:colOff>
      <xdr:row>7</xdr:row>
      <xdr:rowOff>129540</xdr:rowOff>
    </xdr:to>
    <xdr:pic>
      <xdr:nvPicPr>
        <xdr:cNvPr id="26" name="Graphic 25" descr="Customer review RTL">
          <a:extLst>
            <a:ext uri="{FF2B5EF4-FFF2-40B4-BE49-F238E27FC236}">
              <a16:creationId xmlns:a16="http://schemas.microsoft.com/office/drawing/2014/main" id="{FA72C4FC-67D2-2AFF-7BE5-387B36412B5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214360" y="1028700"/>
          <a:ext cx="449580" cy="381000"/>
        </a:xfrm>
        <a:prstGeom prst="rect">
          <a:avLst/>
        </a:prstGeom>
      </xdr:spPr>
    </xdr:pic>
    <xdr:clientData/>
  </xdr:twoCellAnchor>
  <xdr:twoCellAnchor editAs="oneCell">
    <xdr:from>
      <xdr:col>10</xdr:col>
      <xdr:colOff>137160</xdr:colOff>
      <xdr:row>5</xdr:row>
      <xdr:rowOff>152400</xdr:rowOff>
    </xdr:from>
    <xdr:to>
      <xdr:col>10</xdr:col>
      <xdr:colOff>586740</xdr:colOff>
      <xdr:row>7</xdr:row>
      <xdr:rowOff>144780</xdr:rowOff>
    </xdr:to>
    <xdr:pic>
      <xdr:nvPicPr>
        <xdr:cNvPr id="33" name="Graphic 32" descr="Hourglass">
          <a:extLst>
            <a:ext uri="{FF2B5EF4-FFF2-40B4-BE49-F238E27FC236}">
              <a16:creationId xmlns:a16="http://schemas.microsoft.com/office/drawing/2014/main" id="{9B8F8D1D-FA90-33BA-FCFF-8F17E677788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233160" y="1066800"/>
          <a:ext cx="449580" cy="358140"/>
        </a:xfrm>
        <a:prstGeom prst="rect">
          <a:avLst/>
        </a:prstGeom>
      </xdr:spPr>
    </xdr:pic>
    <xdr:clientData/>
  </xdr:twoCellAnchor>
  <xdr:twoCellAnchor editAs="oneCell">
    <xdr:from>
      <xdr:col>0</xdr:col>
      <xdr:colOff>99060</xdr:colOff>
      <xdr:row>5</xdr:row>
      <xdr:rowOff>152400</xdr:rowOff>
    </xdr:from>
    <xdr:to>
      <xdr:col>2</xdr:col>
      <xdr:colOff>434340</xdr:colOff>
      <xdr:row>27</xdr:row>
      <xdr:rowOff>89040</xdr:rowOff>
    </xdr:to>
    <mc:AlternateContent xmlns:mc="http://schemas.openxmlformats.org/markup-compatibility/2006" xmlns:a14="http://schemas.microsoft.com/office/drawing/2010/main">
      <mc:Choice Requires="a14">
        <xdr:graphicFrame macro="">
          <xdr:nvGraphicFramePr>
            <xdr:cNvPr id="34" name="Date (Month)">
              <a:extLst>
                <a:ext uri="{FF2B5EF4-FFF2-40B4-BE49-F238E27FC236}">
                  <a16:creationId xmlns:a16="http://schemas.microsoft.com/office/drawing/2014/main" id="{4BB6EAEE-432F-4F8D-904C-0D7670B40B27}"/>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99060" y="1066800"/>
              <a:ext cx="957000" cy="39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243840</xdr:colOff>
      <xdr:row>5</xdr:row>
      <xdr:rowOff>83820</xdr:rowOff>
    </xdr:from>
    <xdr:to>
      <xdr:col>7</xdr:col>
      <xdr:colOff>7620</xdr:colOff>
      <xdr:row>11</xdr:row>
      <xdr:rowOff>68580</xdr:rowOff>
    </xdr:to>
    <xdr:graphicFrame macro="">
      <xdr:nvGraphicFramePr>
        <xdr:cNvPr id="37" name="Chart 36">
          <a:hlinkClick xmlns:r="http://schemas.openxmlformats.org/officeDocument/2006/relationships" r:id="rId8"/>
          <a:extLst>
            <a:ext uri="{FF2B5EF4-FFF2-40B4-BE49-F238E27FC236}">
              <a16:creationId xmlns:a16="http://schemas.microsoft.com/office/drawing/2014/main" id="{6909DFB5-7B5F-48DB-A895-B4AE3DEB1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190500</xdr:colOff>
      <xdr:row>6</xdr:row>
      <xdr:rowOff>144780</xdr:rowOff>
    </xdr:from>
    <xdr:to>
      <xdr:col>10</xdr:col>
      <xdr:colOff>510540</xdr:colOff>
      <xdr:row>11</xdr:row>
      <xdr:rowOff>91440</xdr:rowOff>
    </xdr:to>
    <xdr:graphicFrame macro="">
      <xdr:nvGraphicFramePr>
        <xdr:cNvPr id="29" name="Chart 28">
          <a:hlinkClick xmlns:r="http://schemas.openxmlformats.org/officeDocument/2006/relationships" r:id="rId10"/>
          <a:extLst>
            <a:ext uri="{FF2B5EF4-FFF2-40B4-BE49-F238E27FC236}">
              <a16:creationId xmlns:a16="http://schemas.microsoft.com/office/drawing/2014/main" id="{3297358C-A512-4B6F-B44A-D15015044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251460</xdr:colOff>
      <xdr:row>6</xdr:row>
      <xdr:rowOff>7620</xdr:rowOff>
    </xdr:from>
    <xdr:to>
      <xdr:col>15</xdr:col>
      <xdr:colOff>121920</xdr:colOff>
      <xdr:row>11</xdr:row>
      <xdr:rowOff>68580</xdr:rowOff>
    </xdr:to>
    <xdr:graphicFrame macro="">
      <xdr:nvGraphicFramePr>
        <xdr:cNvPr id="6" name="Chart 5">
          <a:hlinkClick xmlns:r="http://schemas.openxmlformats.org/officeDocument/2006/relationships" r:id="rId12"/>
          <a:extLst>
            <a:ext uri="{FF2B5EF4-FFF2-40B4-BE49-F238E27FC236}">
              <a16:creationId xmlns:a16="http://schemas.microsoft.com/office/drawing/2014/main" id="{9F7032B0-F8EB-4B64-A3DB-2C8CCC3CB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3</xdr:col>
      <xdr:colOff>99060</xdr:colOff>
      <xdr:row>11</xdr:row>
      <xdr:rowOff>175260</xdr:rowOff>
    </xdr:from>
    <xdr:to>
      <xdr:col>13</xdr:col>
      <xdr:colOff>350520</xdr:colOff>
      <xdr:row>16</xdr:row>
      <xdr:rowOff>38100</xdr:rowOff>
    </xdr:to>
    <xdr:pic>
      <xdr:nvPicPr>
        <xdr:cNvPr id="27" name="Picture 26">
          <a:extLst>
            <a:ext uri="{FF2B5EF4-FFF2-40B4-BE49-F238E27FC236}">
              <a16:creationId xmlns:a16="http://schemas.microsoft.com/office/drawing/2014/main" id="{650355DA-CCC0-CCAC-3C71-544380D6CEEA}"/>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927860" y="2186940"/>
          <a:ext cx="6347460" cy="77724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144780</xdr:colOff>
      <xdr:row>16</xdr:row>
      <xdr:rowOff>152400</xdr:rowOff>
    </xdr:from>
    <xdr:to>
      <xdr:col>13</xdr:col>
      <xdr:colOff>320040</xdr:colOff>
      <xdr:row>27</xdr:row>
      <xdr:rowOff>137160</xdr:rowOff>
    </xdr:to>
    <xdr:graphicFrame macro="">
      <xdr:nvGraphicFramePr>
        <xdr:cNvPr id="23" name="Chart 22">
          <a:extLst>
            <a:ext uri="{FF2B5EF4-FFF2-40B4-BE49-F238E27FC236}">
              <a16:creationId xmlns:a16="http://schemas.microsoft.com/office/drawing/2014/main" id="{6E616994-D2D0-4128-9C9E-D543BA743C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205740</xdr:colOff>
      <xdr:row>26</xdr:row>
      <xdr:rowOff>30480</xdr:rowOff>
    </xdr:from>
    <xdr:to>
      <xdr:col>9</xdr:col>
      <xdr:colOff>213360</xdr:colOff>
      <xdr:row>27</xdr:row>
      <xdr:rowOff>144780</xdr:rowOff>
    </xdr:to>
    <xdr:sp macro="" textlink="">
      <xdr:nvSpPr>
        <xdr:cNvPr id="28" name="TextBox 27">
          <a:extLst>
            <a:ext uri="{FF2B5EF4-FFF2-40B4-BE49-F238E27FC236}">
              <a16:creationId xmlns:a16="http://schemas.microsoft.com/office/drawing/2014/main" id="{6D312A70-0873-7021-3FDD-522193ADA4DA}"/>
            </a:ext>
          </a:extLst>
        </xdr:cNvPr>
        <xdr:cNvSpPr txBox="1"/>
      </xdr:nvSpPr>
      <xdr:spPr>
        <a:xfrm>
          <a:off x="3863340" y="4785360"/>
          <a:ext cx="18364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No</a:t>
          </a:r>
          <a:r>
            <a:rPr lang="en-IN" sz="1100" b="1" baseline="0"/>
            <a:t> Of Patient by Age Group</a:t>
          </a:r>
          <a:endParaRPr lang="en-IN" sz="1100" b="1"/>
        </a:p>
      </xdr:txBody>
    </xdr:sp>
    <xdr:clientData/>
  </xdr:twoCellAnchor>
  <xdr:twoCellAnchor>
    <xdr:from>
      <xdr:col>14</xdr:col>
      <xdr:colOff>480060</xdr:colOff>
      <xdr:row>0</xdr:row>
      <xdr:rowOff>144780</xdr:rowOff>
    </xdr:from>
    <xdr:to>
      <xdr:col>18</xdr:col>
      <xdr:colOff>259080</xdr:colOff>
      <xdr:row>10</xdr:row>
      <xdr:rowOff>137160</xdr:rowOff>
    </xdr:to>
    <xdr:graphicFrame macro="">
      <xdr:nvGraphicFramePr>
        <xdr:cNvPr id="30" name="Chart 29">
          <a:extLst>
            <a:ext uri="{FF2B5EF4-FFF2-40B4-BE49-F238E27FC236}">
              <a16:creationId xmlns:a16="http://schemas.microsoft.com/office/drawing/2014/main" id="{907A0CBE-4696-49CB-91EF-CE0844042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190500</xdr:colOff>
      <xdr:row>9</xdr:row>
      <xdr:rowOff>106680</xdr:rowOff>
    </xdr:from>
    <xdr:to>
      <xdr:col>18</xdr:col>
      <xdr:colOff>15240</xdr:colOff>
      <xdr:row>10</xdr:row>
      <xdr:rowOff>137160</xdr:rowOff>
    </xdr:to>
    <xdr:sp macro="" textlink="">
      <xdr:nvSpPr>
        <xdr:cNvPr id="35" name="TextBox 34">
          <a:extLst>
            <a:ext uri="{FF2B5EF4-FFF2-40B4-BE49-F238E27FC236}">
              <a16:creationId xmlns:a16="http://schemas.microsoft.com/office/drawing/2014/main" id="{4F0B9DD7-1097-4B29-9122-8BDC2E83F625}"/>
            </a:ext>
          </a:extLst>
        </xdr:cNvPr>
        <xdr:cNvSpPr txBox="1"/>
      </xdr:nvSpPr>
      <xdr:spPr>
        <a:xfrm>
          <a:off x="9334500" y="1752600"/>
          <a:ext cx="16535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Patient</a:t>
          </a:r>
          <a:r>
            <a:rPr lang="en-IN" sz="1100" b="1" baseline="0"/>
            <a:t> Attendent Status</a:t>
          </a:r>
          <a:endParaRPr lang="en-IN" sz="1100" b="1"/>
        </a:p>
      </xdr:txBody>
    </xdr:sp>
    <xdr:clientData/>
  </xdr:twoCellAnchor>
  <xdr:twoCellAnchor>
    <xdr:from>
      <xdr:col>19</xdr:col>
      <xdr:colOff>91440</xdr:colOff>
      <xdr:row>0</xdr:row>
      <xdr:rowOff>91440</xdr:rowOff>
    </xdr:from>
    <xdr:to>
      <xdr:col>22</xdr:col>
      <xdr:colOff>441960</xdr:colOff>
      <xdr:row>10</xdr:row>
      <xdr:rowOff>83820</xdr:rowOff>
    </xdr:to>
    <xdr:graphicFrame macro="">
      <xdr:nvGraphicFramePr>
        <xdr:cNvPr id="36" name="Chart 35">
          <a:extLst>
            <a:ext uri="{FF2B5EF4-FFF2-40B4-BE49-F238E27FC236}">
              <a16:creationId xmlns:a16="http://schemas.microsoft.com/office/drawing/2014/main" id="{E105FA87-A198-4A49-9271-032A4630D5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19</xdr:col>
      <xdr:colOff>243840</xdr:colOff>
      <xdr:row>9</xdr:row>
      <xdr:rowOff>22860</xdr:rowOff>
    </xdr:from>
    <xdr:to>
      <xdr:col>22</xdr:col>
      <xdr:colOff>251460</xdr:colOff>
      <xdr:row>10</xdr:row>
      <xdr:rowOff>137160</xdr:rowOff>
    </xdr:to>
    <xdr:sp macro="" textlink="">
      <xdr:nvSpPr>
        <xdr:cNvPr id="39" name="TextBox 38">
          <a:extLst>
            <a:ext uri="{FF2B5EF4-FFF2-40B4-BE49-F238E27FC236}">
              <a16:creationId xmlns:a16="http://schemas.microsoft.com/office/drawing/2014/main" id="{4DDE69C6-91D2-4E89-825C-48188D28F80A}"/>
            </a:ext>
          </a:extLst>
        </xdr:cNvPr>
        <xdr:cNvSpPr txBox="1"/>
      </xdr:nvSpPr>
      <xdr:spPr>
        <a:xfrm>
          <a:off x="11826240" y="1668780"/>
          <a:ext cx="18364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Gender</a:t>
          </a:r>
          <a:r>
            <a:rPr lang="en-IN" sz="1400" b="1" baseline="0"/>
            <a:t> Wise Analysis</a:t>
          </a:r>
          <a:endParaRPr lang="en-IN" sz="1400" b="1"/>
        </a:p>
      </xdr:txBody>
    </xdr:sp>
    <xdr:clientData/>
  </xdr:twoCellAnchor>
  <xdr:twoCellAnchor>
    <xdr:from>
      <xdr:col>13</xdr:col>
      <xdr:colOff>586740</xdr:colOff>
      <xdr:row>11</xdr:row>
      <xdr:rowOff>53340</xdr:rowOff>
    </xdr:from>
    <xdr:to>
      <xdr:col>23</xdr:col>
      <xdr:colOff>15240</xdr:colOff>
      <xdr:row>26</xdr:row>
      <xdr:rowOff>53340</xdr:rowOff>
    </xdr:to>
    <xdr:graphicFrame macro="">
      <xdr:nvGraphicFramePr>
        <xdr:cNvPr id="40" name="Chart 39">
          <a:extLst>
            <a:ext uri="{FF2B5EF4-FFF2-40B4-BE49-F238E27FC236}">
              <a16:creationId xmlns:a16="http://schemas.microsoft.com/office/drawing/2014/main" id="{109D01F7-67AE-447F-B5EA-C85CB7CAE9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16</xdr:col>
      <xdr:colOff>190500</xdr:colOff>
      <xdr:row>26</xdr:row>
      <xdr:rowOff>129540</xdr:rowOff>
    </xdr:from>
    <xdr:to>
      <xdr:col>20</xdr:col>
      <xdr:colOff>502920</xdr:colOff>
      <xdr:row>28</xdr:row>
      <xdr:rowOff>60960</xdr:rowOff>
    </xdr:to>
    <xdr:sp macro="" textlink="">
      <xdr:nvSpPr>
        <xdr:cNvPr id="41" name="TextBox 40">
          <a:extLst>
            <a:ext uri="{FF2B5EF4-FFF2-40B4-BE49-F238E27FC236}">
              <a16:creationId xmlns:a16="http://schemas.microsoft.com/office/drawing/2014/main" id="{AF7188CE-95DC-4A07-9A39-13AB050EB646}"/>
            </a:ext>
          </a:extLst>
        </xdr:cNvPr>
        <xdr:cNvSpPr txBox="1"/>
      </xdr:nvSpPr>
      <xdr:spPr>
        <a:xfrm>
          <a:off x="9944100" y="4884420"/>
          <a:ext cx="27508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No</a:t>
          </a:r>
          <a:r>
            <a:rPr lang="en-IN" sz="1200" b="1" baseline="0"/>
            <a:t> Of Patient by Department Referal</a:t>
          </a:r>
          <a:endParaRPr lang="en-IN" sz="1200" b="1"/>
        </a:p>
      </xdr:txBody>
    </xdr:sp>
    <xdr:clientData/>
  </xdr:twoCellAnchor>
  <xdr:twoCellAnchor editAs="oneCell">
    <xdr:from>
      <xdr:col>9</xdr:col>
      <xdr:colOff>586740</xdr:colOff>
      <xdr:row>0</xdr:row>
      <xdr:rowOff>114300</xdr:rowOff>
    </xdr:from>
    <xdr:to>
      <xdr:col>14</xdr:col>
      <xdr:colOff>166740</xdr:colOff>
      <xdr:row>5</xdr:row>
      <xdr:rowOff>7619</xdr:rowOff>
    </xdr:to>
    <mc:AlternateContent xmlns:mc="http://schemas.openxmlformats.org/markup-compatibility/2006">
      <mc:Choice xmlns:a14="http://schemas.microsoft.com/office/drawing/2010/main" Requires="a14">
        <xdr:graphicFrame macro="">
          <xdr:nvGraphicFramePr>
            <xdr:cNvPr id="42" name="Date (Year)">
              <a:extLst>
                <a:ext uri="{FF2B5EF4-FFF2-40B4-BE49-F238E27FC236}">
                  <a16:creationId xmlns:a16="http://schemas.microsoft.com/office/drawing/2014/main" id="{98A870DD-D127-49CB-8CD5-A6C5FFDAA14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6073140" y="114300"/>
              <a:ext cx="2628000" cy="807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1</xdr:row>
      <xdr:rowOff>15240</xdr:rowOff>
    </xdr:from>
    <xdr:to>
      <xdr:col>15</xdr:col>
      <xdr:colOff>601980</xdr:colOff>
      <xdr:row>29</xdr:row>
      <xdr:rowOff>99060</xdr:rowOff>
    </xdr:to>
    <xdr:graphicFrame macro="">
      <xdr:nvGraphicFramePr>
        <xdr:cNvPr id="2" name="Chart 1">
          <a:extLst>
            <a:ext uri="{FF2B5EF4-FFF2-40B4-BE49-F238E27FC236}">
              <a16:creationId xmlns:a16="http://schemas.microsoft.com/office/drawing/2014/main" id="{F5E65C2C-1DC7-4D7E-BDFE-51E06B50B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0.10724</cdr:x>
      <cdr:y>0.1757</cdr:y>
    </cdr:to>
    <cdr:pic>
      <cdr:nvPicPr>
        <cdr:cNvPr id="3" name="Graphic 2" descr="Hous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CA0CBF2-9A25-0367-E6D4-0B422136C0A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914400" cy="91440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190500</xdr:colOff>
      <xdr:row>0</xdr:row>
      <xdr:rowOff>137160</xdr:rowOff>
    </xdr:from>
    <xdr:to>
      <xdr:col>16</xdr:col>
      <xdr:colOff>114300</xdr:colOff>
      <xdr:row>25</xdr:row>
      <xdr:rowOff>0</xdr:rowOff>
    </xdr:to>
    <xdr:graphicFrame macro="">
      <xdr:nvGraphicFramePr>
        <xdr:cNvPr id="2" name="Chart 1">
          <a:extLst>
            <a:ext uri="{FF2B5EF4-FFF2-40B4-BE49-F238E27FC236}">
              <a16:creationId xmlns:a16="http://schemas.microsoft.com/office/drawing/2014/main" id="{A6D35AFD-38AB-4FF1-82F6-D73AEB791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0.08819</cdr:x>
      <cdr:y>0.19931</cdr:y>
    </cdr:to>
    <cdr:pic>
      <cdr:nvPicPr>
        <cdr:cNvPr id="3" name="Graphic 2" descr="Hous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24EEC0E-40E0-D86B-432F-CA1E15A5AED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853440" cy="88392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30480</xdr:colOff>
      <xdr:row>1</xdr:row>
      <xdr:rowOff>38100</xdr:rowOff>
    </xdr:from>
    <xdr:to>
      <xdr:col>16</xdr:col>
      <xdr:colOff>579120</xdr:colOff>
      <xdr:row>25</xdr:row>
      <xdr:rowOff>22860</xdr:rowOff>
    </xdr:to>
    <xdr:graphicFrame macro="">
      <xdr:nvGraphicFramePr>
        <xdr:cNvPr id="2" name="Chart 1">
          <a:extLst>
            <a:ext uri="{FF2B5EF4-FFF2-40B4-BE49-F238E27FC236}">
              <a16:creationId xmlns:a16="http://schemas.microsoft.com/office/drawing/2014/main" id="{AA9A240F-4CD7-45DA-9D88-559CEB5B2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cdr:x>
      <cdr:y>0</cdr:y>
    </cdr:from>
    <cdr:to>
      <cdr:x>0.07959</cdr:x>
      <cdr:y>0.19195</cdr:y>
    </cdr:to>
    <cdr:pic>
      <cdr:nvPicPr>
        <cdr:cNvPr id="3" name="Graphic 2"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FE37DB9-B5A4-0824-EDF3-C2CD716FD34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769620" cy="839584"/>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1.737708449073" createdVersion="5" refreshedVersion="8" minRefreshableVersion="3" recordCount="0" supportSubquery="1" supportAdvancedDrill="1" xr:uid="{3B0396E3-0332-4CBB-ABE9-3D69C277E865}">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1.737708796296" createdVersion="5" refreshedVersion="8" minRefreshableVersion="3" recordCount="0" supportSubquery="1" supportAdvancedDrill="1" xr:uid="{567F1306-FE93-459B-95F4-393A0242FFC0}">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1.737708912035" createdVersion="5" refreshedVersion="8" minRefreshableVersion="3" recordCount="0" supportSubquery="1" supportAdvancedDrill="1" xr:uid="{BF4376AE-1404-469A-8683-17360ECA198C}">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1.737708912035" createdVersion="5" refreshedVersion="8" minRefreshableVersion="3" recordCount="0" supportSubquery="1" supportAdvancedDrill="1" xr:uid="{10430251-8CBD-48E1-9CB5-A868D851885F}">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1.737709490742" createdVersion="5" refreshedVersion="8" minRefreshableVersion="3" recordCount="0" supportSubquery="1" supportAdvancedDrill="1" xr:uid="{6288B1B8-1000-4A95-84E0-A838A3A11A2B}">
  <cacheSource type="external" connectionId="3"/>
  <cacheFields count="4">
    <cacheField name="[Calender_Table].[Date (Day)].[Date (Day)]" caption="Date (Day)" numFmtId="0" hierarchy="2"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1.737710069443" createdVersion="5" refreshedVersion="8" minRefreshableVersion="3" recordCount="0" supportSubquery="1" supportAdvancedDrill="1" xr:uid="{8E1FB8A8-0FF3-42BF-B1E3-AC6F96AEBF07}">
  <cacheSource type="external" connectionId="3"/>
  <cacheFields count="4">
    <cacheField name="[Calender_Table].[Date (Day)].[Date (Day)]" caption="Date (Day)" numFmtId="0" hierarchy="2"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1.737710532405" createdVersion="5" refreshedVersion="8" minRefreshableVersion="3" recordCount="0" supportSubquery="1" supportAdvancedDrill="1" xr:uid="{8A54F5DE-AB20-4057-96FF-D942E18AE976}">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1.737711111113" createdVersion="5" refreshedVersion="8" minRefreshableVersion="3" recordCount="0" supportSubquery="1" supportAdvancedDrill="1" xr:uid="{A0EC1302-56F6-453B-AFD9-00B1DD227CCA}">
  <cacheSource type="external" connectionId="3"/>
  <cacheFields count="4">
    <cacheField name="[Calender_Table].[Date (Month)].[Date (Month)]" caption="Date (Month)" numFmtId="0" hierarchy="1" level="1">
      <sharedItems containsSemiMixedTypes="0" containsNonDate="0" containsString="0"/>
    </cacheField>
    <cacheField name="[Measures].[Count of Age Group]" caption="Count of Age Group" numFmtId="0" hierarchy="31" level="32767"/>
    <cacheField name="[Hospital Emergency Room Data].[Age Group].[Age Group]" caption="Age Group" numFmtId="0" hierarchy="16" level="1">
      <sharedItems count="8">
        <s v="0-09"/>
        <s v="10-19"/>
        <s v="20-29"/>
        <s v="30-39"/>
        <s v="40-49"/>
        <s v="50-59"/>
        <s v="60-69"/>
        <s v="70-79"/>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1.737711689813" createdVersion="5" refreshedVersion="8" minRefreshableVersion="3" recordCount="0" supportSubquery="1" supportAdvancedDrill="1" xr:uid="{9C2A0D6D-09A0-49CD-809C-02013609CC02}">
  <cacheSource type="external" connectionId="3"/>
  <cacheFields count="4">
    <cacheField name="[Calende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attend Status].[patient attend Status]" caption="patient attend Status" numFmtId="0" hierarchy="17" level="1">
      <sharedItems count="2">
        <s v="Delay"/>
        <s v="Ontime"/>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1.737712268521" createdVersion="5" refreshedVersion="8" minRefreshableVersion="3" recordCount="0" supportSubquery="1" supportAdvancedDrill="1" xr:uid="{4DC87666-FA51-439F-9933-AB21F507288D}">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1.737712615737" createdVersion="5" refreshedVersion="8" minRefreshableVersion="3" recordCount="0" supportSubquery="1" supportAdvancedDrill="1" xr:uid="{530E9E95-D196-414D-B4C5-3301B8FABC7A}">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1.73771296296" createdVersion="5" refreshedVersion="8" minRefreshableVersion="3" recordCount="0" supportSubquery="1" supportAdvancedDrill="1" xr:uid="{331B6AAF-C8BC-469B-BF8F-9C3322152E7F}">
  <cacheSource type="external" connectionId="3"/>
  <cacheFields count="4">
    <cacheField name="[Calender_Table].[Date (Month)].[Date (Month)]" caption="Date (Month)" numFmtId="0" hierarchy="1" level="1">
      <sharedItems count="1">
        <s v="Aug"/>
      </sharedItems>
    </cacheField>
    <cacheField name="[Calender_Table].[Date].[Date]" caption="Date" numFmtId="0" level="1">
      <sharedItems containsSemiMixedTypes="0" containsNonDate="0" containsDate="1" containsString="0" minDate="2023-08-01T00:00:00" maxDate="2024-09-01T00:00:00" count="62">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sharedItems>
    </cacheField>
    <cacheField name="[Calender_Table].[Date (Quarter)].[Date (Quarter)]" caption="Date (Quarter)" numFmtId="0" hierarchy="4" level="1">
      <sharedItems count="1">
        <s v="Qtr3"/>
      </sharedItems>
    </cacheField>
    <cacheField name="[Calender_Table].[Date (Year)].[Date (Year)]" caption="Date (Year)" numFmtId="0" hierarchy="3" level="1">
      <sharedItems count="1">
        <s v="2023"/>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0.93067199074" createdVersion="3" refreshedVersion="8" minRefreshableVersion="3" recordCount="0" supportSubquery="1" supportAdvancedDrill="1" xr:uid="{F4AE93DD-70DB-4B7C-BA2C-FE8A68478F2B}">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938356436"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0.931059374998" createdVersion="3" refreshedVersion="8" minRefreshableVersion="3" recordCount="0" supportSubquery="1" supportAdvancedDrill="1" xr:uid="{B95076BE-E65C-4FBE-9E86-949D73A227DA}">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963465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38BEB7-B5CE-4166-8690-BC6B34C1222A}" name="PivotTable8" cacheId="778" applyNumberFormats="0" applyBorderFormats="0" applyFontFormats="0" applyPatternFormats="0" applyAlignmentFormats="0" applyWidthHeightFormats="1" dataCaption="Values" tag="4b671e1b-3d73-4056-9ee6-4fa8b05ab536" updatedVersion="8" minRefreshableVersion="3" preserveFormatting="0" useAutoFormatting="1" subtotalHiddenItems="1" itemPrintTitles="1" createdVersion="5" indent="0" outline="1" outlineData="1" multipleFieldFilters="0" chartFormat="24">
  <location ref="A48:B5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D7CEAA-5517-4663-A58C-B9B61E4E4D3F}" name="PivotTable3" cacheId="766" applyNumberFormats="0" applyBorderFormats="0" applyFontFormats="0" applyPatternFormats="0" applyAlignmentFormats="0" applyWidthHeightFormats="1" dataCaption="Values" tag="4b671e1b-3d73-4056-9ee6-4fa8b05ab536" updatedVersion="8" minRefreshableVersion="3"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84">
      <pivotArea outline="0" collapsedLevelsAreSubtotals="1" fieldPosition="0"/>
    </format>
  </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F9F1FB-EB98-4728-BBAE-3725AD7BF28C}" name="PivotTable5" cacheId="769" applyNumberFormats="0" applyBorderFormats="0" applyFontFormats="0" applyPatternFormats="0" applyAlignmentFormats="0" applyWidthHeightFormats="1" dataCaption="Values" tag="f7a21f4d-671e-4f6d-ae69-8199362850c6" updatedVersion="8" minRefreshableVersion="3" subtotalHiddenItems="1" itemPrintTitles="1" createdVersion="5" indent="0" outline="1" outlineData="1" multipleFieldFilters="0" chartFormat="68">
  <location ref="G5:H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4" numFmtId="2"/>
  </dataFields>
  <formats count="1">
    <format dxfId="85">
      <pivotArea outline="0" collapsedLevelsAreSubtotals="1" fieldPosition="0"/>
    </format>
  </formats>
  <chartFormats count="4">
    <chartFormat chart="53" format="0" series="1">
      <pivotArea type="data" outline="0" fieldPosition="0">
        <references count="1">
          <reference field="4294967294" count="1" selected="0">
            <x v="0"/>
          </reference>
        </references>
      </pivotArea>
    </chartFormat>
    <chartFormat chart="55" format="1"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 chart="60"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D28A54-F009-479F-9BDD-C170F1BD9AFA}" name="PivotTable12" cacheId="790" applyNumberFormats="0" applyBorderFormats="0" applyFontFormats="0" applyPatternFormats="0" applyAlignmentFormats="0" applyWidthHeightFormats="1" dataCaption="Values" tag="4b671e1b-3d73-4056-9ee6-4fa8b05ab536" updatedVersion="8" minRefreshableVersion="3" preserveFormatting="0" useAutoFormatting="1" subtotalHiddenItems="1" itemPrintTitles="1" createdVersion="5" indent="0" outline="1" outlineData="1" multipleFieldFilters="0" chartFormat="39">
  <location ref="A94:A96"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3961C0-01EE-4617-BC23-5690D95913EF}" name="PivotTable11" cacheId="787" applyNumberFormats="0" applyBorderFormats="0" applyFontFormats="0" applyPatternFormats="0" applyAlignmentFormats="0" applyWidthHeightFormats="1" dataCaption="Values" tag="4b671e1b-3d73-4056-9ee6-4fa8b05ab536" updatedVersion="8" minRefreshableVersion="3" preserveFormatting="0" useAutoFormatting="1" subtotalHiddenItems="1" itemPrintTitles="1" createdVersion="5" indent="0" outline="1" outlineData="1" multipleFieldFilters="0" chartFormat="39">
  <location ref="A79:B88"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i>
    <i>
      <x v="3"/>
    </i>
    <i>
      <x v="6"/>
    </i>
    <i>
      <x v="5"/>
    </i>
    <i>
      <x v="2"/>
    </i>
    <i>
      <x v="4"/>
    </i>
    <i t="grand">
      <x/>
    </i>
  </rowItems>
  <colItems count="1">
    <i/>
  </colItems>
  <dataFields count="1">
    <dataField name="Count of Department Referral" fld="2" subtotal="count" baseField="0" baseItem="0"/>
  </dataFields>
  <chartFormats count="2">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E67927-9991-40CC-A578-71D5315FE223}" name="PivotTable2" cacheId="763" applyNumberFormats="0" applyBorderFormats="0" applyFontFormats="0" applyPatternFormats="0" applyAlignmentFormats="0" applyWidthHeightFormats="1" dataCaption="Values" tag="3bc6b148-ff92-45ad-baa9-3616d6aaeabf" updatedVersion="8" minRefreshableVersion="3"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86">
      <pivotArea outline="0" collapsedLevelsAreSubtotals="1" fieldPosition="0"/>
    </format>
  </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5BEB4C-F2EC-4F3B-84D2-9ADEB3845E44}" name="PivotTable7" cacheId="775" applyNumberFormats="0" applyBorderFormats="0" applyFontFormats="0" applyPatternFormats="0" applyAlignmentFormats="0" applyWidthHeightFormats="1" dataCaption="Values" tag="4b671e1b-3d73-4056-9ee6-4fa8b05ab536" updatedVersion="8" minRefreshableVersion="3" preserveFormatting="0" useAutoFormatting="1" itemPrintTitles="1" createdVersion="5" indent="0" outline="1" outlineData="1" multipleFieldFilters="0" chartFormat="3">
  <location ref="A39:C42"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EF37B2-71C1-4011-9866-1229A8730BE4}" name="PivotTable10" cacheId="784" applyNumberFormats="0" applyBorderFormats="0" applyFontFormats="0" applyPatternFormats="0" applyAlignmentFormats="0" applyWidthHeightFormats="1" dataCaption="Values" tag="4b671e1b-3d73-4056-9ee6-4fa8b05ab536" updatedVersion="8" minRefreshableVersion="3" preserveFormatting="0" useAutoFormatting="1" subtotalHiddenItems="1" itemPrintTitles="1" createdVersion="5" indent="0" outline="1" outlineData="1" multipleFieldFilters="0" chartFormat="36">
  <location ref="A73:B7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3">
    <chartFormat chart="34" format="4" series="1">
      <pivotArea type="data" outline="0" fieldPosition="0">
        <references count="1">
          <reference field="4294967294" count="1" selected="0">
            <x v="0"/>
          </reference>
        </references>
      </pivotArea>
    </chartFormat>
    <chartFormat chart="34" format="5">
      <pivotArea type="data" outline="0" fieldPosition="0">
        <references count="2">
          <reference field="4294967294" count="1" selected="0">
            <x v="0"/>
          </reference>
          <reference field="1" count="1" selected="0">
            <x v="0"/>
          </reference>
        </references>
      </pivotArea>
    </chartFormat>
    <chartFormat chart="34"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632BEE-D362-4D79-8A8A-87858D7D6CEE}" name="PivotTable6" cacheId="772" applyNumberFormats="0" applyBorderFormats="0" applyFontFormats="0" applyPatternFormats="0" applyAlignmentFormats="0" applyWidthHeightFormats="1" dataCaption="Values" tag="f7a21f4d-671e-4f6d-ae69-8199362850c6" updatedVersion="8" minRefreshableVersion="3" subtotalHiddenItems="1" itemPrintTitles="1" createdVersion="5" indent="0" outline="1" outlineData="1" multipleFieldFilters="0" chartFormat="82">
  <location ref="J37:K69"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87">
      <pivotArea outline="0" collapsedLevelsAreSubtotals="1" fieldPosition="0"/>
    </format>
  </formats>
  <chartFormats count="2">
    <chartFormat chart="71" format="2" series="1">
      <pivotArea type="data" outline="0" fieldPosition="0">
        <references count="1">
          <reference field="4294967294" count="1" selected="0">
            <x v="0"/>
          </reference>
        </references>
      </pivotArea>
    </chartFormat>
    <chartFormat chart="73"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327F140-47BD-41DC-9FC8-04B8F9507E49}" name="PivotTable4" cacheId="757" applyNumberFormats="0" applyBorderFormats="0" applyFontFormats="0" applyPatternFormats="0" applyAlignmentFormats="0" applyWidthHeightFormats="1" dataCaption="Values" tag="f7a21f4d-671e-4f6d-ae69-8199362850c6" updatedVersion="8" minRefreshableVersion="3" itemPrintTitles="1" createdVersion="5" indent="0" outline="1" outlineData="1" multipleFieldFilters="0" chartFormat="53">
  <location ref="D4:E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6">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 chart="38" format="9"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B0A427B-A7F5-41C2-8C6C-EE0AB9F5CBE1}" name="PivotTable9" cacheId="781" applyNumberFormats="0" applyBorderFormats="0" applyFontFormats="0" applyPatternFormats="0" applyAlignmentFormats="0" applyWidthHeightFormats="1" dataCaption="Values" tag="4b671e1b-3d73-4056-9ee6-4fa8b05ab536" updatedVersion="8" minRefreshableVersion="3" preserveFormatting="0" useAutoFormatting="1" subtotalHiddenItems="1" itemPrintTitles="1" createdVersion="5" indent="0" outline="1" outlineData="1" multipleFieldFilters="0" chartFormat="31">
  <location ref="A66:B69"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chartFormats count="3">
    <chartFormat chart="26" format="4" series="1">
      <pivotArea type="data" outline="0" fieldPosition="0">
        <references count="1">
          <reference field="4294967294" count="1" selected="0">
            <x v="0"/>
          </reference>
        </references>
      </pivotArea>
    </chartFormat>
    <chartFormat chart="26" format="5">
      <pivotArea type="data" outline="0" fieldPosition="0">
        <references count="2">
          <reference field="4294967294" count="1" selected="0">
            <x v="0"/>
          </reference>
          <reference field="2" count="1" selected="0">
            <x v="0"/>
          </reference>
        </references>
      </pivotArea>
    </chartFormat>
    <chartFormat chart="26"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6120AE4-D45A-4A3B-9009-BB8F54B62042}" name="PivotTable1" cacheId="760" applyNumberFormats="0" applyBorderFormats="0" applyFontFormats="0" applyPatternFormats="0" applyAlignmentFormats="0" applyWidthHeightFormats="1" dataCaption="Values" tag="f7a21f4d-671e-4f6d-ae69-8199362850c6" updatedVersion="8" minRefreshableVersion="3"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548CC12-E8E8-4AAF-9B94-F265C8276B64}"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938356436">
      <levels count="2">
        <level uniqueName="[Calender_Table].[Date (Month)].[(All)]" sourceCaption="(All)" count="0"/>
        <level uniqueName="[Calender_Table].[Date (Month)].[Date (Month)]" sourceCaption="Date (Month)" count="12">
          <ranges>
            <range startItem="0">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i n="[Calender_Table].[Date (Month)].&amp;[Jan]" c="Jan"/>
              <i n="[Calender_Table].[Date (Month)].&amp;[Feb]" c="Feb"/>
              <i n="[Calender_Table].[Date (Month)].&amp;[Mar]" c="Mar"/>
            </range>
          </ranges>
        </level>
      </levels>
      <selections count="1">
        <selection n="[Calender_Table].[Date (Month)].&amp;[Oc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FD03135-FFFA-447F-8911-AA89B581B249}"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96346570">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C3410476-5BA4-4E70-B8B4-B06FDCA86EBF}" cache="Slicer_Date__Month" caption="Date (Month)" startItem="1" showCaption="0" level="1" style="My style" rowHeight="288000"/>
  <slicer name="Date (Year)" xr10:uid="{60A04C82-9D0F-47B9-B49B-75A2CA83DB7B}" cache="Slicer_Date__Year" caption="Date (Year)" columnCount="2" showCaption="0" level="1" style="SlicerStyleLight6" rowHeight="64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2">
            <a:lumMod val="90000"/>
          </a:schemeClr>
        </a:solidFill>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txDef>
      <a:spPr>
        <a:solidFill>
          <a:schemeClr val="lt1"/>
        </a:solidFill>
        <a:ln w="9525" cmpd="sng">
          <a:solidFill>
            <a:schemeClr val="lt1">
              <a:shade val="50000"/>
            </a:schemeClr>
          </a:solidFill>
        </a:ln>
      </a:spPr>
      <a:bodyPr vertOverflow="clip" horzOverflow="clip" wrap="square" rtlCol="0" anchor="t"/>
      <a:lstStyle>
        <a:defPPr algn="l">
          <a:defRPr sz="1100" b="1"/>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6F167-F50D-4872-BAC4-465305CC81B4}">
  <dimension ref="A3:K96"/>
  <sheetViews>
    <sheetView topLeftCell="A77" workbookViewId="0">
      <selection activeCell="A95" sqref="A95"/>
    </sheetView>
  </sheetViews>
  <sheetFormatPr defaultRowHeight="14.4" x14ac:dyDescent="0.3"/>
  <cols>
    <col min="1" max="1" width="12.5546875" bestFit="1" customWidth="1"/>
    <col min="2" max="2" width="26.33203125" bestFit="1" customWidth="1"/>
    <col min="3" max="3" width="29.109375" bestFit="1" customWidth="1"/>
    <col min="4" max="4" width="24.77734375" bestFit="1" customWidth="1"/>
    <col min="5" max="5" width="23.88671875" bestFit="1" customWidth="1"/>
    <col min="7" max="7" width="15.77734375" bestFit="1" customWidth="1"/>
    <col min="8" max="8" width="23.88671875" bestFit="1" customWidth="1"/>
    <col min="10" max="10" width="12.5546875" bestFit="1" customWidth="1"/>
    <col min="11" max="11" width="25" bestFit="1" customWidth="1"/>
  </cols>
  <sheetData>
    <row r="3" spans="1:8" x14ac:dyDescent="0.3">
      <c r="A3" t="s">
        <v>1</v>
      </c>
      <c r="D3" s="6" t="s">
        <v>6</v>
      </c>
      <c r="E3" t="s">
        <v>7</v>
      </c>
    </row>
    <row r="4" spans="1:8" x14ac:dyDescent="0.3">
      <c r="A4" t="s">
        <v>0</v>
      </c>
      <c r="D4" s="3" t="s">
        <v>4</v>
      </c>
      <c r="E4" t="s">
        <v>0</v>
      </c>
      <c r="G4" s="6" t="s">
        <v>8</v>
      </c>
    </row>
    <row r="5" spans="1:8" x14ac:dyDescent="0.3">
      <c r="A5" s="17">
        <v>493</v>
      </c>
      <c r="D5" s="4" t="s">
        <v>42</v>
      </c>
      <c r="E5" s="17">
        <v>15</v>
      </c>
      <c r="G5" s="3" t="s">
        <v>4</v>
      </c>
      <c r="H5" t="s">
        <v>2</v>
      </c>
    </row>
    <row r="6" spans="1:8" x14ac:dyDescent="0.3">
      <c r="D6" s="4" t="s">
        <v>43</v>
      </c>
      <c r="E6" s="17">
        <v>14</v>
      </c>
      <c r="G6" s="4" t="s">
        <v>42</v>
      </c>
      <c r="H6" s="1">
        <v>36.4</v>
      </c>
    </row>
    <row r="7" spans="1:8" x14ac:dyDescent="0.3">
      <c r="D7" s="4" t="s">
        <v>44</v>
      </c>
      <c r="E7" s="17">
        <v>15</v>
      </c>
      <c r="G7" s="4" t="s">
        <v>43</v>
      </c>
      <c r="H7" s="1">
        <v>33.357142857142854</v>
      </c>
    </row>
    <row r="8" spans="1:8" x14ac:dyDescent="0.3">
      <c r="A8" t="s">
        <v>2</v>
      </c>
      <c r="D8" s="4" t="s">
        <v>45</v>
      </c>
      <c r="E8" s="17">
        <v>18</v>
      </c>
      <c r="G8" s="4" t="s">
        <v>44</v>
      </c>
      <c r="H8" s="1">
        <v>38.200000000000003</v>
      </c>
    </row>
    <row r="9" spans="1:8" x14ac:dyDescent="0.3">
      <c r="A9" s="1">
        <v>34.933062880324542</v>
      </c>
      <c r="D9" s="4" t="s">
        <v>46</v>
      </c>
      <c r="E9" s="17">
        <v>19</v>
      </c>
      <c r="G9" s="4" t="s">
        <v>45</v>
      </c>
      <c r="H9" s="1">
        <v>37.611111111111114</v>
      </c>
    </row>
    <row r="10" spans="1:8" x14ac:dyDescent="0.3">
      <c r="D10" s="4" t="s">
        <v>47</v>
      </c>
      <c r="E10" s="17">
        <v>15</v>
      </c>
      <c r="G10" s="4" t="s">
        <v>46</v>
      </c>
      <c r="H10" s="1">
        <v>29.210526315789473</v>
      </c>
    </row>
    <row r="11" spans="1:8" x14ac:dyDescent="0.3">
      <c r="A11" t="s">
        <v>3</v>
      </c>
      <c r="D11" s="4" t="s">
        <v>48</v>
      </c>
      <c r="E11" s="17">
        <v>15</v>
      </c>
      <c r="G11" s="4" t="s">
        <v>47</v>
      </c>
      <c r="H11" s="1">
        <v>37.266666666666666</v>
      </c>
    </row>
    <row r="12" spans="1:8" x14ac:dyDescent="0.3">
      <c r="A12" s="1">
        <v>4.7449664429530198</v>
      </c>
      <c r="D12" s="4" t="s">
        <v>49</v>
      </c>
      <c r="E12" s="17">
        <v>10</v>
      </c>
      <c r="G12" s="4" t="s">
        <v>48</v>
      </c>
      <c r="H12" s="1">
        <v>34.133333333333333</v>
      </c>
    </row>
    <row r="13" spans="1:8" x14ac:dyDescent="0.3">
      <c r="D13" s="4" t="s">
        <v>50</v>
      </c>
      <c r="E13" s="17">
        <v>19</v>
      </c>
      <c r="G13" s="4" t="s">
        <v>49</v>
      </c>
      <c r="H13" s="1">
        <v>38.6</v>
      </c>
    </row>
    <row r="14" spans="1:8" x14ac:dyDescent="0.3">
      <c r="D14" s="4" t="s">
        <v>51</v>
      </c>
      <c r="E14" s="17">
        <v>12</v>
      </c>
      <c r="G14" s="4" t="s">
        <v>50</v>
      </c>
      <c r="H14" s="1">
        <v>36.05263157894737</v>
      </c>
    </row>
    <row r="15" spans="1:8" x14ac:dyDescent="0.3">
      <c r="D15" s="4" t="s">
        <v>52</v>
      </c>
      <c r="E15" s="17">
        <v>20</v>
      </c>
      <c r="G15" s="4" t="s">
        <v>51</v>
      </c>
      <c r="H15" s="1">
        <v>39.833333333333336</v>
      </c>
    </row>
    <row r="16" spans="1:8" x14ac:dyDescent="0.3">
      <c r="D16" s="4" t="s">
        <v>53</v>
      </c>
      <c r="E16" s="17">
        <v>18</v>
      </c>
      <c r="G16" s="4" t="s">
        <v>52</v>
      </c>
      <c r="H16" s="1">
        <v>34.700000000000003</v>
      </c>
    </row>
    <row r="17" spans="4:8" x14ac:dyDescent="0.3">
      <c r="D17" s="4" t="s">
        <v>54</v>
      </c>
      <c r="E17" s="17">
        <v>20</v>
      </c>
      <c r="G17" s="4" t="s">
        <v>53</v>
      </c>
      <c r="H17" s="1">
        <v>41.055555555555557</v>
      </c>
    </row>
    <row r="18" spans="4:8" x14ac:dyDescent="0.3">
      <c r="D18" s="4" t="s">
        <v>55</v>
      </c>
      <c r="E18" s="17">
        <v>11</v>
      </c>
      <c r="G18" s="4" t="s">
        <v>54</v>
      </c>
      <c r="H18" s="1">
        <v>36.950000000000003</v>
      </c>
    </row>
    <row r="19" spans="4:8" x14ac:dyDescent="0.3">
      <c r="D19" s="4" t="s">
        <v>56</v>
      </c>
      <c r="E19" s="17">
        <v>10</v>
      </c>
      <c r="G19" s="4" t="s">
        <v>55</v>
      </c>
      <c r="H19" s="1">
        <v>38.18181818181818</v>
      </c>
    </row>
    <row r="20" spans="4:8" x14ac:dyDescent="0.3">
      <c r="D20" s="4" t="s">
        <v>57</v>
      </c>
      <c r="E20" s="17">
        <v>14</v>
      </c>
      <c r="G20" s="4" t="s">
        <v>56</v>
      </c>
      <c r="H20" s="1">
        <v>30.9</v>
      </c>
    </row>
    <row r="21" spans="4:8" x14ac:dyDescent="0.3">
      <c r="D21" s="4" t="s">
        <v>58</v>
      </c>
      <c r="E21" s="17">
        <v>11</v>
      </c>
      <c r="G21" s="4" t="s">
        <v>57</v>
      </c>
      <c r="H21" s="1">
        <v>27.571428571428573</v>
      </c>
    </row>
    <row r="22" spans="4:8" x14ac:dyDescent="0.3">
      <c r="D22" s="4" t="s">
        <v>59</v>
      </c>
      <c r="E22" s="17">
        <v>25</v>
      </c>
      <c r="G22" s="4" t="s">
        <v>58</v>
      </c>
      <c r="H22" s="1">
        <v>33.18181818181818</v>
      </c>
    </row>
    <row r="23" spans="4:8" x14ac:dyDescent="0.3">
      <c r="D23" s="4" t="s">
        <v>60</v>
      </c>
      <c r="E23" s="17">
        <v>17</v>
      </c>
      <c r="G23" s="4" t="s">
        <v>59</v>
      </c>
      <c r="H23" s="1">
        <v>34.28</v>
      </c>
    </row>
    <row r="24" spans="4:8" x14ac:dyDescent="0.3">
      <c r="D24" s="4" t="s">
        <v>61</v>
      </c>
      <c r="E24" s="17">
        <v>22</v>
      </c>
      <c r="G24" s="4" t="s">
        <v>60</v>
      </c>
      <c r="H24" s="1">
        <v>39.764705882352942</v>
      </c>
    </row>
    <row r="25" spans="4:8" x14ac:dyDescent="0.3">
      <c r="D25" s="4" t="s">
        <v>62</v>
      </c>
      <c r="E25" s="17">
        <v>18</v>
      </c>
      <c r="G25" s="4" t="s">
        <v>61</v>
      </c>
      <c r="H25" s="1">
        <v>31.954545454545453</v>
      </c>
    </row>
    <row r="26" spans="4:8" x14ac:dyDescent="0.3">
      <c r="D26" s="4" t="s">
        <v>63</v>
      </c>
      <c r="E26" s="17">
        <v>16</v>
      </c>
      <c r="G26" s="4" t="s">
        <v>62</v>
      </c>
      <c r="H26" s="1">
        <v>30.166666666666668</v>
      </c>
    </row>
    <row r="27" spans="4:8" x14ac:dyDescent="0.3">
      <c r="D27" s="4" t="s">
        <v>64</v>
      </c>
      <c r="E27" s="17">
        <v>14</v>
      </c>
      <c r="G27" s="4" t="s">
        <v>63</v>
      </c>
      <c r="H27" s="1">
        <v>36.875</v>
      </c>
    </row>
    <row r="28" spans="4:8" x14ac:dyDescent="0.3">
      <c r="D28" s="4" t="s">
        <v>65</v>
      </c>
      <c r="E28" s="17">
        <v>13</v>
      </c>
      <c r="G28" s="4" t="s">
        <v>64</v>
      </c>
      <c r="H28" s="1">
        <v>38.714285714285715</v>
      </c>
    </row>
    <row r="29" spans="4:8" x14ac:dyDescent="0.3">
      <c r="D29" s="4" t="s">
        <v>66</v>
      </c>
      <c r="E29" s="17">
        <v>15</v>
      </c>
      <c r="G29" s="4" t="s">
        <v>65</v>
      </c>
      <c r="H29" s="1">
        <v>31.923076923076923</v>
      </c>
    </row>
    <row r="30" spans="4:8" x14ac:dyDescent="0.3">
      <c r="D30" s="4" t="s">
        <v>67</v>
      </c>
      <c r="E30" s="17">
        <v>18</v>
      </c>
      <c r="G30" s="4" t="s">
        <v>66</v>
      </c>
      <c r="H30" s="1">
        <v>29.6</v>
      </c>
    </row>
    <row r="31" spans="4:8" x14ac:dyDescent="0.3">
      <c r="D31" s="4" t="s">
        <v>68</v>
      </c>
      <c r="E31" s="17">
        <v>10</v>
      </c>
      <c r="G31" s="4" t="s">
        <v>67</v>
      </c>
      <c r="H31" s="1">
        <v>31.666666666666668</v>
      </c>
    </row>
    <row r="32" spans="4:8" x14ac:dyDescent="0.3">
      <c r="D32" s="4" t="s">
        <v>69</v>
      </c>
      <c r="E32" s="17">
        <v>15</v>
      </c>
      <c r="G32" s="4" t="s">
        <v>68</v>
      </c>
      <c r="H32" s="1">
        <v>42.6</v>
      </c>
    </row>
    <row r="33" spans="1:11" x14ac:dyDescent="0.3">
      <c r="D33" s="4" t="s">
        <v>70</v>
      </c>
      <c r="E33" s="17">
        <v>18</v>
      </c>
      <c r="G33" s="4" t="s">
        <v>69</v>
      </c>
      <c r="H33" s="1">
        <v>33.799999999999997</v>
      </c>
    </row>
    <row r="34" spans="1:11" x14ac:dyDescent="0.3">
      <c r="D34" s="4" t="s">
        <v>71</v>
      </c>
      <c r="E34" s="17">
        <v>16</v>
      </c>
      <c r="G34" s="4" t="s">
        <v>70</v>
      </c>
      <c r="H34" s="1">
        <v>40.555555555555557</v>
      </c>
    </row>
    <row r="35" spans="1:11" x14ac:dyDescent="0.3">
      <c r="D35" s="4" t="s">
        <v>72</v>
      </c>
      <c r="E35" s="17">
        <v>20</v>
      </c>
      <c r="G35" s="4" t="s">
        <v>71</v>
      </c>
      <c r="H35" s="1">
        <v>26.75</v>
      </c>
    </row>
    <row r="36" spans="1:11" x14ac:dyDescent="0.3">
      <c r="D36" s="4" t="s">
        <v>5</v>
      </c>
      <c r="E36" s="17">
        <v>493</v>
      </c>
      <c r="G36" s="4" t="s">
        <v>72</v>
      </c>
      <c r="H36" s="1">
        <v>35.049999999999997</v>
      </c>
    </row>
    <row r="37" spans="1:11" x14ac:dyDescent="0.3">
      <c r="G37" s="4" t="s">
        <v>5</v>
      </c>
      <c r="H37" s="1">
        <v>34.933062880324542</v>
      </c>
      <c r="J37" s="3" t="s">
        <v>4</v>
      </c>
      <c r="K37" t="s">
        <v>3</v>
      </c>
    </row>
    <row r="38" spans="1:11" x14ac:dyDescent="0.3">
      <c r="J38" s="4" t="s">
        <v>42</v>
      </c>
      <c r="K38" s="1">
        <v>4.8</v>
      </c>
    </row>
    <row r="39" spans="1:11" x14ac:dyDescent="0.3">
      <c r="A39" s="3" t="s">
        <v>4</v>
      </c>
      <c r="B39" t="s">
        <v>9</v>
      </c>
      <c r="C39" t="s">
        <v>12</v>
      </c>
      <c r="J39" s="4" t="s">
        <v>43</v>
      </c>
      <c r="K39" s="1">
        <v>3.8</v>
      </c>
    </row>
    <row r="40" spans="1:11" x14ac:dyDescent="0.3">
      <c r="A40" s="4" t="s">
        <v>10</v>
      </c>
      <c r="B40" s="8">
        <v>239</v>
      </c>
      <c r="C40" s="9">
        <v>0.48478701825557807</v>
      </c>
      <c r="J40" s="4" t="s">
        <v>44</v>
      </c>
      <c r="K40" s="1">
        <v>2.5</v>
      </c>
    </row>
    <row r="41" spans="1:11" x14ac:dyDescent="0.3">
      <c r="A41" s="4" t="s">
        <v>11</v>
      </c>
      <c r="B41" s="8">
        <v>254</v>
      </c>
      <c r="C41" s="9">
        <v>0.51521298174442187</v>
      </c>
      <c r="J41" s="4" t="s">
        <v>45</v>
      </c>
      <c r="K41" s="1">
        <v>3.75</v>
      </c>
    </row>
    <row r="42" spans="1:11" x14ac:dyDescent="0.3">
      <c r="A42" s="4" t="s">
        <v>5</v>
      </c>
      <c r="B42" s="8">
        <v>493</v>
      </c>
      <c r="C42" s="9">
        <v>1</v>
      </c>
      <c r="J42" s="4" t="s">
        <v>46</v>
      </c>
      <c r="K42" s="1">
        <v>5.333333333333333</v>
      </c>
    </row>
    <row r="43" spans="1:11" x14ac:dyDescent="0.3">
      <c r="J43" s="4" t="s">
        <v>47</v>
      </c>
      <c r="K43" s="1">
        <v>5.6</v>
      </c>
    </row>
    <row r="44" spans="1:11" x14ac:dyDescent="0.3">
      <c r="J44" s="4" t="s">
        <v>48</v>
      </c>
      <c r="K44" s="1">
        <v>8.4</v>
      </c>
    </row>
    <row r="45" spans="1:11" x14ac:dyDescent="0.3">
      <c r="J45" s="4" t="s">
        <v>49</v>
      </c>
      <c r="K45" s="1">
        <v>3</v>
      </c>
    </row>
    <row r="46" spans="1:11" x14ac:dyDescent="0.3">
      <c r="J46" s="4" t="s">
        <v>50</v>
      </c>
      <c r="K46" s="1">
        <v>5</v>
      </c>
    </row>
    <row r="47" spans="1:11" x14ac:dyDescent="0.3">
      <c r="A47" s="14" t="s">
        <v>23</v>
      </c>
      <c r="J47" s="4" t="s">
        <v>51</v>
      </c>
      <c r="K47" s="1">
        <v>7</v>
      </c>
    </row>
    <row r="48" spans="1:11" x14ac:dyDescent="0.3">
      <c r="A48" s="3" t="s">
        <v>4</v>
      </c>
      <c r="B48" t="s">
        <v>14</v>
      </c>
      <c r="J48" s="4" t="s">
        <v>52</v>
      </c>
      <c r="K48" s="1">
        <v>5.2857142857142856</v>
      </c>
    </row>
    <row r="49" spans="1:11" x14ac:dyDescent="0.3">
      <c r="A49" s="4" t="s">
        <v>15</v>
      </c>
      <c r="B49" s="17">
        <v>52</v>
      </c>
      <c r="J49" s="4" t="s">
        <v>53</v>
      </c>
      <c r="K49" s="1">
        <v>3</v>
      </c>
    </row>
    <row r="50" spans="1:11" x14ac:dyDescent="0.3">
      <c r="A50" s="4" t="s">
        <v>16</v>
      </c>
      <c r="B50" s="17">
        <v>65</v>
      </c>
      <c r="J50" s="4" t="s">
        <v>54</v>
      </c>
      <c r="K50" s="1">
        <v>4.5</v>
      </c>
    </row>
    <row r="51" spans="1:11" x14ac:dyDescent="0.3">
      <c r="A51" s="4" t="s">
        <v>17</v>
      </c>
      <c r="B51" s="17">
        <v>64</v>
      </c>
      <c r="J51" s="4" t="s">
        <v>55</v>
      </c>
      <c r="K51" s="1">
        <v>6.25</v>
      </c>
    </row>
    <row r="52" spans="1:11" x14ac:dyDescent="0.3">
      <c r="A52" s="4" t="s">
        <v>18</v>
      </c>
      <c r="B52" s="17">
        <v>57</v>
      </c>
      <c r="J52" s="4" t="s">
        <v>56</v>
      </c>
      <c r="K52" s="1">
        <v>5</v>
      </c>
    </row>
    <row r="53" spans="1:11" x14ac:dyDescent="0.3">
      <c r="A53" s="4" t="s">
        <v>19</v>
      </c>
      <c r="B53" s="17">
        <v>71</v>
      </c>
      <c r="J53" s="4" t="s">
        <v>57</v>
      </c>
      <c r="K53" s="1">
        <v>6.8</v>
      </c>
    </row>
    <row r="54" spans="1:11" x14ac:dyDescent="0.3">
      <c r="A54" s="4" t="s">
        <v>20</v>
      </c>
      <c r="B54" s="17">
        <v>59</v>
      </c>
      <c r="J54" s="4" t="s">
        <v>58</v>
      </c>
      <c r="K54" s="1">
        <v>5</v>
      </c>
    </row>
    <row r="55" spans="1:11" x14ac:dyDescent="0.3">
      <c r="A55" s="4" t="s">
        <v>21</v>
      </c>
      <c r="B55" s="17">
        <v>61</v>
      </c>
      <c r="J55" s="4" t="s">
        <v>59</v>
      </c>
      <c r="K55" s="1">
        <v>4.7142857142857144</v>
      </c>
    </row>
    <row r="56" spans="1:11" x14ac:dyDescent="0.3">
      <c r="A56" s="4" t="s">
        <v>22</v>
      </c>
      <c r="B56" s="17">
        <v>64</v>
      </c>
      <c r="J56" s="4" t="s">
        <v>60</v>
      </c>
      <c r="K56" s="1">
        <v>6.7142857142857144</v>
      </c>
    </row>
    <row r="57" spans="1:11" x14ac:dyDescent="0.3">
      <c r="A57" s="4" t="s">
        <v>5</v>
      </c>
      <c r="B57" s="17">
        <v>493</v>
      </c>
      <c r="D57" s="11"/>
      <c r="J57" s="4" t="s">
        <v>61</v>
      </c>
      <c r="K57" s="1">
        <v>1.5714285714285714</v>
      </c>
    </row>
    <row r="58" spans="1:11" x14ac:dyDescent="0.3">
      <c r="D58" s="13"/>
      <c r="J58" s="4" t="s">
        <v>62</v>
      </c>
      <c r="K58" s="1">
        <v>5.125</v>
      </c>
    </row>
    <row r="59" spans="1:11" x14ac:dyDescent="0.3">
      <c r="D59" s="13"/>
      <c r="J59" s="4" t="s">
        <v>63</v>
      </c>
      <c r="K59" s="1">
        <v>4.5</v>
      </c>
    </row>
    <row r="60" spans="1:11" x14ac:dyDescent="0.3">
      <c r="J60" s="4" t="s">
        <v>64</v>
      </c>
      <c r="K60" s="1">
        <v>5.666666666666667</v>
      </c>
    </row>
    <row r="61" spans="1:11" x14ac:dyDescent="0.3">
      <c r="C61" s="10" t="s">
        <v>13</v>
      </c>
      <c r="J61" s="4" t="s">
        <v>65</v>
      </c>
      <c r="K61" s="1">
        <v>6.5</v>
      </c>
    </row>
    <row r="62" spans="1:11" x14ac:dyDescent="0.3">
      <c r="C62" s="12">
        <f>C41</f>
        <v>0.51521298174442187</v>
      </c>
      <c r="J62" s="4" t="s">
        <v>66</v>
      </c>
      <c r="K62" s="1">
        <v>4.333333333333333</v>
      </c>
    </row>
    <row r="63" spans="1:11" x14ac:dyDescent="0.3">
      <c r="C63" s="12">
        <f>C40</f>
        <v>0.48478701825557807</v>
      </c>
      <c r="J63" s="4" t="s">
        <v>67</v>
      </c>
      <c r="K63" s="1">
        <v>4</v>
      </c>
    </row>
    <row r="64" spans="1:11" x14ac:dyDescent="0.3">
      <c r="J64" s="4" t="s">
        <v>68</v>
      </c>
      <c r="K64" s="1">
        <v>4.5</v>
      </c>
    </row>
    <row r="65" spans="1:11" x14ac:dyDescent="0.3">
      <c r="A65" s="7" t="s">
        <v>27</v>
      </c>
      <c r="B65" s="15"/>
      <c r="J65" s="4" t="s">
        <v>69</v>
      </c>
      <c r="K65" s="1">
        <v>3.6666666666666665</v>
      </c>
    </row>
    <row r="66" spans="1:11" x14ac:dyDescent="0.3">
      <c r="A66" s="3" t="s">
        <v>4</v>
      </c>
      <c r="B66" t="s">
        <v>24</v>
      </c>
      <c r="J66" s="4" t="s">
        <v>70</v>
      </c>
      <c r="K66" s="1">
        <v>3.2</v>
      </c>
    </row>
    <row r="67" spans="1:11" x14ac:dyDescent="0.3">
      <c r="A67" s="4" t="s">
        <v>26</v>
      </c>
      <c r="B67" s="17">
        <v>281</v>
      </c>
      <c r="J67" s="4" t="s">
        <v>71</v>
      </c>
      <c r="K67" s="1">
        <v>2.6666666666666665</v>
      </c>
    </row>
    <row r="68" spans="1:11" x14ac:dyDescent="0.3">
      <c r="A68" s="4" t="s">
        <v>25</v>
      </c>
      <c r="B68" s="17">
        <v>212</v>
      </c>
      <c r="J68" s="4" t="s">
        <v>72</v>
      </c>
      <c r="K68" s="1">
        <v>5</v>
      </c>
    </row>
    <row r="69" spans="1:11" x14ac:dyDescent="0.3">
      <c r="A69" s="4" t="s">
        <v>5</v>
      </c>
      <c r="B69" s="17">
        <v>493</v>
      </c>
      <c r="J69" s="4" t="s">
        <v>5</v>
      </c>
      <c r="K69" s="1">
        <v>4.7449664429530198</v>
      </c>
    </row>
    <row r="72" spans="1:11" x14ac:dyDescent="0.3">
      <c r="A72" s="16" t="s">
        <v>31</v>
      </c>
    </row>
    <row r="73" spans="1:11" x14ac:dyDescent="0.3">
      <c r="A73" s="3" t="s">
        <v>4</v>
      </c>
      <c r="B73" t="s">
        <v>30</v>
      </c>
    </row>
    <row r="74" spans="1:11" x14ac:dyDescent="0.3">
      <c r="A74" s="4" t="s">
        <v>28</v>
      </c>
      <c r="B74" s="17">
        <v>248</v>
      </c>
    </row>
    <row r="75" spans="1:11" x14ac:dyDescent="0.3">
      <c r="A75" s="4" t="s">
        <v>29</v>
      </c>
      <c r="B75" s="17">
        <v>245</v>
      </c>
    </row>
    <row r="76" spans="1:11" x14ac:dyDescent="0.3">
      <c r="A76" s="4" t="s">
        <v>5</v>
      </c>
      <c r="B76" s="17">
        <v>493</v>
      </c>
    </row>
    <row r="79" spans="1:11" x14ac:dyDescent="0.3">
      <c r="A79" s="3" t="s">
        <v>4</v>
      </c>
      <c r="B79" t="s">
        <v>40</v>
      </c>
    </row>
    <row r="80" spans="1:11" x14ac:dyDescent="0.3">
      <c r="A80" s="4" t="s">
        <v>33</v>
      </c>
      <c r="B80" s="17">
        <v>9</v>
      </c>
    </row>
    <row r="81" spans="1:2" x14ac:dyDescent="0.3">
      <c r="A81" s="4" t="s">
        <v>39</v>
      </c>
      <c r="B81" s="17">
        <v>9</v>
      </c>
    </row>
    <row r="82" spans="1:2" x14ac:dyDescent="0.3">
      <c r="A82" s="4" t="s">
        <v>32</v>
      </c>
      <c r="B82" s="17">
        <v>10</v>
      </c>
    </row>
    <row r="83" spans="1:2" x14ac:dyDescent="0.3">
      <c r="A83" s="4" t="s">
        <v>35</v>
      </c>
      <c r="B83" s="17">
        <v>11</v>
      </c>
    </row>
    <row r="84" spans="1:2" x14ac:dyDescent="0.3">
      <c r="A84" s="4" t="s">
        <v>38</v>
      </c>
      <c r="B84" s="17">
        <v>15</v>
      </c>
    </row>
    <row r="85" spans="1:2" x14ac:dyDescent="0.3">
      <c r="A85" s="4" t="s">
        <v>37</v>
      </c>
      <c r="B85" s="17">
        <v>61</v>
      </c>
    </row>
    <row r="86" spans="1:2" x14ac:dyDescent="0.3">
      <c r="A86" s="4" t="s">
        <v>34</v>
      </c>
      <c r="B86" s="17">
        <v>96</v>
      </c>
    </row>
    <row r="87" spans="1:2" x14ac:dyDescent="0.3">
      <c r="A87" s="4" t="s">
        <v>36</v>
      </c>
      <c r="B87" s="17">
        <v>282</v>
      </c>
    </row>
    <row r="88" spans="1:2" x14ac:dyDescent="0.3">
      <c r="A88" s="4" t="s">
        <v>5</v>
      </c>
      <c r="B88" s="17">
        <v>493</v>
      </c>
    </row>
    <row r="94" spans="1:2" x14ac:dyDescent="0.3">
      <c r="A94" s="3" t="s">
        <v>4</v>
      </c>
    </row>
    <row r="95" spans="1:2" x14ac:dyDescent="0.3">
      <c r="A95" s="4" t="s">
        <v>41</v>
      </c>
    </row>
    <row r="96" spans="1:2" x14ac:dyDescent="0.3">
      <c r="A96" s="4"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F2901-E044-4207-AD84-7C468DD082E1}">
  <dimension ref="A1:X60"/>
  <sheetViews>
    <sheetView tabSelected="1" workbookViewId="0">
      <selection activeCell="M32" sqref="M32"/>
    </sheetView>
  </sheetViews>
  <sheetFormatPr defaultRowHeight="14.4" x14ac:dyDescent="0.3"/>
  <sheetData>
    <row r="1" spans="1:24" x14ac:dyDescent="0.3">
      <c r="A1" s="2"/>
      <c r="B1" s="2"/>
      <c r="C1" s="2"/>
      <c r="D1" s="2"/>
      <c r="E1" s="2"/>
      <c r="F1" s="2"/>
      <c r="G1" s="2"/>
      <c r="H1" s="2"/>
      <c r="I1" s="2"/>
      <c r="J1" s="2"/>
      <c r="K1" s="2"/>
      <c r="L1" s="2"/>
      <c r="M1" s="2"/>
      <c r="N1" s="2"/>
      <c r="O1" s="2"/>
      <c r="P1" s="2"/>
      <c r="Q1" s="2"/>
      <c r="R1" s="2"/>
      <c r="S1" s="2"/>
      <c r="T1" s="2"/>
      <c r="U1" s="2"/>
      <c r="V1" s="2"/>
      <c r="W1" s="2"/>
      <c r="X1" s="2"/>
    </row>
    <row r="2" spans="1:24" x14ac:dyDescent="0.3">
      <c r="A2" s="2"/>
      <c r="B2" s="2"/>
      <c r="C2" s="2"/>
      <c r="D2" s="2"/>
      <c r="E2" s="2"/>
      <c r="F2" s="2"/>
      <c r="G2" s="2"/>
      <c r="H2" s="2"/>
      <c r="I2" s="2"/>
      <c r="J2" s="2"/>
      <c r="K2" s="2"/>
      <c r="L2" s="2"/>
      <c r="M2" s="2"/>
      <c r="N2" s="2"/>
      <c r="O2" s="2"/>
      <c r="P2" s="2"/>
      <c r="Q2" s="2"/>
      <c r="R2" s="2"/>
      <c r="S2" s="2"/>
      <c r="T2" s="2"/>
      <c r="U2" s="2"/>
      <c r="V2" s="2"/>
      <c r="W2" s="2"/>
      <c r="X2" s="2"/>
    </row>
    <row r="3" spans="1:24" x14ac:dyDescent="0.3">
      <c r="A3" s="2"/>
      <c r="B3" s="2"/>
      <c r="C3" s="2"/>
      <c r="D3" s="2"/>
      <c r="E3" s="2"/>
      <c r="F3" s="2"/>
      <c r="G3" s="2"/>
      <c r="H3" s="2"/>
      <c r="I3" s="2"/>
      <c r="J3" s="2"/>
      <c r="K3" s="2"/>
      <c r="L3" s="2"/>
      <c r="M3" s="2"/>
      <c r="N3" s="2"/>
      <c r="O3" s="2"/>
      <c r="P3" s="2"/>
      <c r="Q3" s="2"/>
      <c r="R3" s="2"/>
      <c r="S3" s="2"/>
      <c r="T3" s="2"/>
      <c r="U3" s="2"/>
      <c r="V3" s="2"/>
      <c r="W3" s="2"/>
      <c r="X3" s="2"/>
    </row>
    <row r="4" spans="1:24" x14ac:dyDescent="0.3">
      <c r="A4" s="2"/>
      <c r="B4" s="2"/>
      <c r="C4" s="2"/>
      <c r="D4" s="2"/>
      <c r="E4" s="2"/>
      <c r="F4" s="2"/>
      <c r="G4" s="2"/>
      <c r="H4" s="2"/>
      <c r="I4" s="2"/>
      <c r="J4" s="2"/>
      <c r="K4" s="2"/>
      <c r="L4" s="2"/>
      <c r="M4" s="2"/>
      <c r="N4" s="2"/>
      <c r="O4" s="2"/>
      <c r="P4" s="2"/>
      <c r="Q4" s="2"/>
      <c r="R4" s="2"/>
      <c r="S4" s="2"/>
      <c r="T4" s="2"/>
      <c r="U4" s="2"/>
      <c r="V4" s="2"/>
      <c r="W4" s="2"/>
      <c r="X4" s="2"/>
    </row>
    <row r="5" spans="1:24" x14ac:dyDescent="0.3">
      <c r="A5" s="2"/>
      <c r="B5" s="2"/>
      <c r="C5" s="2"/>
      <c r="D5" s="2"/>
      <c r="E5" s="2"/>
      <c r="F5" s="2"/>
      <c r="G5" s="2"/>
      <c r="H5" s="2"/>
      <c r="I5" s="2"/>
      <c r="J5" s="2"/>
      <c r="K5" s="2"/>
      <c r="L5" s="2"/>
      <c r="M5" s="2"/>
      <c r="N5" s="2"/>
      <c r="O5" s="2"/>
      <c r="P5" s="2"/>
      <c r="Q5" s="2"/>
      <c r="R5" s="2"/>
      <c r="S5" s="2"/>
      <c r="T5" s="2"/>
      <c r="U5" s="2"/>
      <c r="V5" s="2"/>
      <c r="W5" s="2"/>
      <c r="X5" s="2"/>
    </row>
    <row r="6" spans="1:24" x14ac:dyDescent="0.3">
      <c r="A6" s="2"/>
      <c r="B6" s="2"/>
      <c r="C6" s="2"/>
      <c r="D6" s="2"/>
      <c r="E6" s="2"/>
      <c r="F6" s="2"/>
      <c r="G6" s="2"/>
      <c r="H6" s="2"/>
      <c r="I6" s="2"/>
      <c r="J6" s="2"/>
      <c r="K6" s="2"/>
      <c r="L6" s="2"/>
      <c r="M6" s="2"/>
      <c r="N6" s="2"/>
      <c r="O6" s="2"/>
      <c r="P6" s="2"/>
      <c r="Q6" s="2"/>
      <c r="R6" s="2"/>
      <c r="S6" s="2"/>
      <c r="T6" s="2"/>
      <c r="U6" s="2"/>
      <c r="V6" s="2"/>
      <c r="W6" s="2"/>
      <c r="X6" s="2"/>
    </row>
    <row r="7" spans="1:24" x14ac:dyDescent="0.3">
      <c r="A7" s="2"/>
      <c r="B7" s="2"/>
      <c r="C7" s="2"/>
      <c r="D7" s="2"/>
      <c r="E7" s="2"/>
      <c r="F7" s="2"/>
      <c r="G7" s="2"/>
      <c r="H7" s="2"/>
      <c r="I7" s="2"/>
      <c r="J7" s="2"/>
      <c r="K7" s="2"/>
      <c r="L7" s="2"/>
      <c r="M7" s="2"/>
      <c r="N7" s="2"/>
      <c r="O7" s="2"/>
      <c r="P7" s="2"/>
      <c r="Q7" s="2"/>
      <c r="R7" s="2"/>
      <c r="S7" s="2"/>
      <c r="T7" s="2"/>
      <c r="U7" s="2"/>
      <c r="V7" s="2"/>
      <c r="W7" s="2"/>
      <c r="X7" s="2"/>
    </row>
    <row r="8" spans="1:24" x14ac:dyDescent="0.3">
      <c r="A8" s="2"/>
      <c r="B8" s="2"/>
      <c r="C8" s="2"/>
      <c r="D8" s="2"/>
      <c r="E8" s="2"/>
      <c r="F8" s="2"/>
      <c r="G8" s="2"/>
      <c r="H8" s="2"/>
      <c r="I8" s="2"/>
      <c r="J8" s="2"/>
      <c r="K8" s="2"/>
      <c r="L8" s="2"/>
      <c r="M8" s="2"/>
      <c r="N8" s="2"/>
      <c r="O8" s="2"/>
      <c r="P8" s="2"/>
      <c r="Q8" s="2"/>
      <c r="R8" s="2"/>
      <c r="S8" s="2"/>
      <c r="T8" s="2"/>
      <c r="U8" s="2"/>
      <c r="V8" s="2"/>
      <c r="W8" s="2"/>
      <c r="X8" s="2"/>
    </row>
    <row r="9" spans="1:24" x14ac:dyDescent="0.3">
      <c r="A9" s="2"/>
      <c r="B9" s="2"/>
      <c r="C9" s="2"/>
      <c r="D9" s="2"/>
      <c r="E9" s="2"/>
      <c r="F9" s="2"/>
      <c r="G9" s="2"/>
      <c r="H9" s="2"/>
      <c r="I9" s="2"/>
      <c r="J9" s="2"/>
      <c r="K9" s="2"/>
      <c r="L9" s="2"/>
      <c r="M9" s="2"/>
      <c r="N9" s="2"/>
      <c r="O9" s="2"/>
      <c r="P9" s="2"/>
      <c r="Q9" s="2"/>
      <c r="R9" s="2"/>
      <c r="S9" s="2"/>
      <c r="T9" s="2"/>
      <c r="U9" s="2"/>
      <c r="V9" s="2"/>
      <c r="W9" s="2"/>
      <c r="X9" s="2"/>
    </row>
    <row r="10" spans="1:24" x14ac:dyDescent="0.3">
      <c r="A10" s="2"/>
      <c r="B10" s="2"/>
      <c r="C10" s="2"/>
      <c r="D10" s="2"/>
      <c r="E10" s="2"/>
      <c r="F10" s="2"/>
      <c r="G10" s="2"/>
      <c r="H10" s="2"/>
      <c r="I10" s="2"/>
      <c r="J10" s="2"/>
      <c r="K10" s="2"/>
      <c r="L10" s="2"/>
      <c r="M10" s="2"/>
      <c r="N10" s="2"/>
      <c r="O10" s="2"/>
      <c r="P10" s="2"/>
      <c r="Q10" s="2"/>
      <c r="R10" s="2"/>
      <c r="S10" s="2"/>
      <c r="T10" s="2"/>
      <c r="U10" s="2"/>
      <c r="V10" s="2"/>
      <c r="W10" s="2"/>
      <c r="X10" s="2"/>
    </row>
    <row r="11" spans="1:24" x14ac:dyDescent="0.3">
      <c r="A11" s="2"/>
      <c r="B11" s="2"/>
      <c r="C11" s="2"/>
      <c r="D11" s="2"/>
      <c r="E11" s="2"/>
      <c r="F11" s="2"/>
      <c r="G11" s="2"/>
      <c r="H11" s="2"/>
      <c r="I11" s="2"/>
      <c r="J11" s="2"/>
      <c r="K11" s="2"/>
      <c r="L11" s="2"/>
      <c r="M11" s="2"/>
      <c r="N11" s="2"/>
      <c r="O11" s="2"/>
      <c r="P11" s="2"/>
      <c r="Q11" s="2"/>
      <c r="R11" s="2"/>
      <c r="S11" s="2"/>
      <c r="T11" s="2"/>
      <c r="U11" s="2"/>
      <c r="V11" s="2"/>
      <c r="W11" s="2"/>
      <c r="X11" s="2"/>
    </row>
    <row r="12" spans="1:24" x14ac:dyDescent="0.3">
      <c r="A12" s="2"/>
      <c r="B12" s="2"/>
      <c r="C12" s="2"/>
      <c r="D12" s="2"/>
      <c r="E12" s="2"/>
      <c r="F12" s="2"/>
      <c r="G12" s="2"/>
      <c r="H12" s="2"/>
      <c r="I12" s="2"/>
      <c r="J12" s="2"/>
      <c r="K12" s="2"/>
      <c r="L12" s="2"/>
      <c r="M12" s="2"/>
      <c r="N12" s="2"/>
      <c r="O12" s="2"/>
      <c r="P12" s="2"/>
      <c r="Q12" s="2"/>
      <c r="R12" s="2"/>
      <c r="S12" s="2"/>
      <c r="T12" s="2"/>
      <c r="U12" s="2"/>
      <c r="V12" s="2"/>
      <c r="W12" s="2"/>
      <c r="X12" s="2"/>
    </row>
    <row r="13" spans="1:24" x14ac:dyDescent="0.3">
      <c r="A13" s="2"/>
      <c r="B13" s="2"/>
      <c r="C13" s="2"/>
      <c r="D13" s="2"/>
      <c r="E13" s="2"/>
      <c r="F13" s="2"/>
      <c r="G13" s="2"/>
      <c r="H13" s="2"/>
      <c r="I13" s="2"/>
      <c r="J13" s="2"/>
      <c r="K13" s="2"/>
      <c r="L13" s="2"/>
      <c r="M13" s="2"/>
      <c r="N13" s="2"/>
      <c r="O13" s="2"/>
      <c r="P13" s="2"/>
      <c r="Q13" s="2"/>
      <c r="R13" s="2"/>
      <c r="S13" s="2"/>
      <c r="T13" s="2"/>
      <c r="U13" s="2"/>
      <c r="V13" s="2"/>
      <c r="W13" s="2"/>
      <c r="X13" s="2"/>
    </row>
    <row r="14" spans="1:24" x14ac:dyDescent="0.3">
      <c r="A14" s="2"/>
      <c r="B14" s="2"/>
      <c r="C14" s="2"/>
      <c r="D14" s="2"/>
      <c r="E14" s="2"/>
      <c r="F14" s="2"/>
      <c r="G14" s="2"/>
      <c r="H14" s="2"/>
      <c r="I14" s="2"/>
      <c r="J14" s="2"/>
      <c r="K14" s="2"/>
      <c r="L14" s="2"/>
      <c r="M14" s="2"/>
      <c r="N14" s="2"/>
      <c r="O14" s="2"/>
      <c r="P14" s="2"/>
      <c r="Q14" s="2"/>
      <c r="R14" s="2"/>
      <c r="S14" s="2"/>
      <c r="T14" s="2"/>
      <c r="U14" s="2"/>
      <c r="V14" s="2"/>
      <c r="W14" s="2"/>
      <c r="X14" s="2"/>
    </row>
    <row r="15" spans="1:24" x14ac:dyDescent="0.3">
      <c r="A15" s="2"/>
      <c r="B15" s="2"/>
      <c r="C15" s="2"/>
      <c r="D15" s="2"/>
      <c r="E15" s="2"/>
      <c r="F15" s="2"/>
      <c r="G15" s="2"/>
      <c r="H15" s="2"/>
      <c r="I15" s="2"/>
      <c r="J15" s="2"/>
      <c r="K15" s="2"/>
      <c r="L15" s="2"/>
      <c r="M15" s="2"/>
      <c r="N15" s="2"/>
      <c r="O15" s="2"/>
      <c r="P15" s="2"/>
      <c r="Q15" s="2"/>
      <c r="R15" s="2"/>
      <c r="S15" s="2"/>
      <c r="T15" s="2"/>
      <c r="U15" s="2"/>
      <c r="V15" s="2"/>
      <c r="W15" s="2"/>
      <c r="X15" s="2"/>
    </row>
    <row r="16" spans="1:24" x14ac:dyDescent="0.3">
      <c r="A16" s="2"/>
      <c r="B16" s="2"/>
      <c r="C16" s="2"/>
      <c r="D16" s="2"/>
      <c r="E16" s="2"/>
      <c r="F16" s="2"/>
      <c r="G16" s="2"/>
      <c r="H16" s="2"/>
      <c r="I16" s="2"/>
      <c r="J16" s="2"/>
      <c r="K16" s="2"/>
      <c r="L16" s="2"/>
      <c r="M16" s="2"/>
      <c r="N16" s="2"/>
      <c r="O16" s="2"/>
      <c r="P16" s="2"/>
      <c r="Q16" s="2"/>
      <c r="R16" s="2"/>
      <c r="S16" s="2"/>
      <c r="T16" s="2"/>
      <c r="U16" s="2"/>
      <c r="V16" s="2"/>
      <c r="W16" s="2"/>
      <c r="X16" s="2"/>
    </row>
    <row r="17" spans="1:24" x14ac:dyDescent="0.3">
      <c r="A17" s="2"/>
      <c r="B17" s="2"/>
      <c r="C17" s="2"/>
      <c r="D17" s="2"/>
      <c r="E17" s="2"/>
      <c r="F17" s="2"/>
      <c r="G17" s="2"/>
      <c r="H17" s="2"/>
      <c r="I17" s="2"/>
      <c r="J17" s="2"/>
      <c r="K17" s="2"/>
      <c r="L17" s="2"/>
      <c r="M17" s="2"/>
      <c r="N17" s="2"/>
      <c r="O17" s="2"/>
      <c r="P17" s="2"/>
      <c r="Q17" s="2"/>
      <c r="R17" s="2"/>
      <c r="S17" s="2"/>
      <c r="T17" s="2"/>
      <c r="U17" s="2"/>
      <c r="V17" s="2"/>
      <c r="W17" s="2"/>
      <c r="X17" s="2"/>
    </row>
    <row r="18" spans="1:24" x14ac:dyDescent="0.3">
      <c r="A18" s="2"/>
      <c r="B18" s="2"/>
      <c r="C18" s="2"/>
      <c r="D18" s="2"/>
      <c r="E18" s="2"/>
      <c r="F18" s="2"/>
      <c r="G18" s="2"/>
      <c r="H18" s="2"/>
      <c r="I18" s="2"/>
      <c r="J18" s="2"/>
      <c r="K18" s="2"/>
      <c r="L18" s="2"/>
      <c r="M18" s="2"/>
      <c r="N18" s="2"/>
      <c r="O18" s="2"/>
      <c r="P18" s="2"/>
      <c r="Q18" s="2"/>
      <c r="R18" s="2"/>
      <c r="S18" s="2"/>
      <c r="T18" s="2"/>
      <c r="U18" s="2"/>
      <c r="V18" s="2"/>
      <c r="W18" s="2"/>
      <c r="X18" s="2"/>
    </row>
    <row r="19" spans="1:24" x14ac:dyDescent="0.3">
      <c r="A19" s="2"/>
      <c r="B19" s="2"/>
      <c r="C19" s="2"/>
      <c r="D19" s="2"/>
      <c r="E19" s="2"/>
      <c r="F19" s="2"/>
      <c r="G19" s="2"/>
      <c r="H19" s="2"/>
      <c r="I19" s="2"/>
      <c r="J19" s="2"/>
      <c r="K19" s="2"/>
      <c r="L19" s="2"/>
      <c r="M19" s="2"/>
      <c r="N19" s="2"/>
      <c r="O19" s="2"/>
      <c r="P19" s="2"/>
      <c r="Q19" s="2"/>
      <c r="R19" s="2"/>
      <c r="S19" s="2"/>
      <c r="T19" s="2"/>
      <c r="U19" s="2"/>
      <c r="V19" s="2"/>
      <c r="W19" s="2"/>
      <c r="X19" s="2"/>
    </row>
    <row r="20" spans="1:24" x14ac:dyDescent="0.3">
      <c r="A20" s="2"/>
      <c r="B20" s="2"/>
      <c r="C20" s="2"/>
      <c r="D20" s="2"/>
      <c r="E20" s="2"/>
      <c r="F20" s="2"/>
      <c r="G20" s="2"/>
      <c r="H20" s="2"/>
      <c r="I20" s="2"/>
      <c r="J20" s="2"/>
      <c r="K20" s="2"/>
      <c r="L20" s="2"/>
      <c r="M20" s="2"/>
      <c r="N20" s="2"/>
      <c r="O20" s="2"/>
      <c r="P20" s="2"/>
      <c r="Q20" s="2"/>
      <c r="R20" s="2"/>
      <c r="S20" s="2"/>
      <c r="T20" s="2"/>
      <c r="U20" s="2"/>
      <c r="V20" s="2"/>
      <c r="W20" s="2"/>
      <c r="X20" s="2"/>
    </row>
    <row r="21" spans="1:24" x14ac:dyDescent="0.3">
      <c r="A21" s="2"/>
      <c r="B21" s="2"/>
      <c r="C21" s="2"/>
      <c r="D21" s="2"/>
      <c r="E21" s="2"/>
      <c r="F21" s="2"/>
      <c r="G21" s="2"/>
      <c r="H21" s="2"/>
      <c r="I21" s="2"/>
      <c r="J21" s="2"/>
      <c r="K21" s="2"/>
      <c r="L21" s="2"/>
      <c r="M21" s="2"/>
      <c r="N21" s="2"/>
      <c r="O21" s="2"/>
      <c r="P21" s="2"/>
      <c r="Q21" s="2"/>
      <c r="R21" s="2"/>
      <c r="S21" s="2"/>
      <c r="T21" s="2"/>
      <c r="U21" s="2"/>
      <c r="V21" s="2"/>
      <c r="W21" s="2"/>
      <c r="X21" s="2"/>
    </row>
    <row r="22" spans="1:24" x14ac:dyDescent="0.3">
      <c r="A22" s="2"/>
      <c r="B22" s="2"/>
      <c r="C22" s="2"/>
      <c r="D22" s="2"/>
      <c r="E22" s="2"/>
      <c r="F22" s="2"/>
      <c r="G22" s="2"/>
      <c r="H22" s="2"/>
      <c r="I22" s="2"/>
      <c r="J22" s="2"/>
      <c r="K22" s="2"/>
      <c r="L22" s="2"/>
      <c r="M22" s="2"/>
      <c r="N22" s="2"/>
      <c r="O22" s="2"/>
      <c r="P22" s="2"/>
      <c r="Q22" s="2"/>
      <c r="R22" s="2"/>
      <c r="S22" s="2"/>
      <c r="T22" s="2"/>
      <c r="U22" s="2"/>
      <c r="V22" s="2"/>
      <c r="W22" s="2"/>
      <c r="X22" s="2"/>
    </row>
    <row r="23" spans="1:24" x14ac:dyDescent="0.3">
      <c r="A23" s="2"/>
      <c r="B23" s="2"/>
      <c r="C23" s="2"/>
      <c r="D23" s="2"/>
      <c r="E23" s="2"/>
      <c r="F23" s="2"/>
      <c r="G23" s="2"/>
      <c r="H23" s="2"/>
      <c r="I23" s="2"/>
      <c r="J23" s="2"/>
      <c r="K23" s="2"/>
      <c r="L23" s="2"/>
      <c r="M23" s="2"/>
      <c r="N23" s="2"/>
      <c r="O23" s="2"/>
      <c r="P23" s="2"/>
      <c r="Q23" s="2"/>
      <c r="R23" s="2"/>
      <c r="S23" s="2"/>
      <c r="T23" s="2"/>
      <c r="U23" s="2"/>
      <c r="V23" s="2"/>
      <c r="W23" s="2"/>
      <c r="X23" s="2"/>
    </row>
    <row r="24" spans="1:24" x14ac:dyDescent="0.3">
      <c r="A24" s="2"/>
      <c r="B24" s="2"/>
      <c r="C24" s="2"/>
      <c r="D24" s="2"/>
      <c r="E24" s="2"/>
      <c r="F24" s="2"/>
      <c r="G24" s="2"/>
      <c r="H24" s="2"/>
      <c r="I24" s="2"/>
      <c r="J24" s="2"/>
      <c r="K24" s="2"/>
      <c r="L24" s="2"/>
      <c r="M24" s="2"/>
      <c r="N24" s="2"/>
      <c r="O24" s="2"/>
      <c r="P24" s="2"/>
      <c r="Q24" s="2"/>
      <c r="R24" s="2"/>
      <c r="S24" s="2"/>
      <c r="T24" s="2"/>
      <c r="U24" s="2"/>
      <c r="V24" s="2"/>
      <c r="W24" s="2"/>
      <c r="X24" s="2"/>
    </row>
    <row r="25" spans="1:24" x14ac:dyDescent="0.3">
      <c r="A25" s="2"/>
      <c r="B25" s="2"/>
      <c r="C25" s="2"/>
      <c r="D25" s="2"/>
      <c r="E25" s="2"/>
      <c r="F25" s="2"/>
      <c r="G25" s="2"/>
      <c r="H25" s="2"/>
      <c r="I25" s="2"/>
      <c r="J25" s="2"/>
      <c r="K25" s="2"/>
      <c r="L25" s="2"/>
      <c r="M25" s="2"/>
      <c r="N25" s="2"/>
      <c r="O25" s="2"/>
      <c r="P25" s="2"/>
      <c r="Q25" s="2"/>
      <c r="R25" s="2"/>
      <c r="S25" s="2"/>
      <c r="T25" s="2"/>
      <c r="U25" s="2"/>
      <c r="V25" s="2"/>
      <c r="W25" s="2"/>
      <c r="X25" s="2"/>
    </row>
    <row r="26" spans="1:24" x14ac:dyDescent="0.3">
      <c r="A26" s="2"/>
      <c r="B26" s="2"/>
      <c r="C26" s="2"/>
      <c r="D26" s="2"/>
      <c r="E26" s="2"/>
      <c r="F26" s="2"/>
      <c r="G26" s="2"/>
      <c r="H26" s="2"/>
      <c r="I26" s="2"/>
      <c r="J26" s="2"/>
      <c r="K26" s="2"/>
      <c r="L26" s="2"/>
      <c r="M26" s="2"/>
      <c r="N26" s="2"/>
      <c r="O26" s="2"/>
      <c r="P26" s="2"/>
      <c r="Q26" s="2"/>
      <c r="R26" s="2"/>
      <c r="S26" s="2"/>
      <c r="T26" s="2"/>
      <c r="U26" s="2"/>
      <c r="V26" s="2"/>
      <c r="W26" s="2"/>
      <c r="X26" s="2"/>
    </row>
    <row r="27" spans="1:24" x14ac:dyDescent="0.3">
      <c r="A27" s="2"/>
      <c r="B27" s="2"/>
      <c r="C27" s="2"/>
      <c r="D27" s="2"/>
      <c r="E27" s="2"/>
      <c r="F27" s="2"/>
      <c r="G27" s="2"/>
      <c r="H27" s="2"/>
      <c r="I27" s="2"/>
      <c r="J27" s="2"/>
      <c r="K27" s="2"/>
      <c r="L27" s="2"/>
      <c r="M27" s="2"/>
      <c r="N27" s="2"/>
      <c r="O27" s="2"/>
      <c r="P27" s="2"/>
      <c r="Q27" s="2"/>
      <c r="R27" s="2"/>
      <c r="S27" s="2"/>
      <c r="T27" s="2"/>
      <c r="U27" s="2"/>
      <c r="V27" s="2"/>
      <c r="W27" s="2"/>
      <c r="X27" s="2"/>
    </row>
    <row r="28" spans="1:24" x14ac:dyDescent="0.3">
      <c r="A28" s="2"/>
      <c r="B28" s="2"/>
      <c r="C28" s="2"/>
      <c r="D28" s="2"/>
      <c r="E28" s="2"/>
      <c r="F28" s="2"/>
      <c r="G28" s="2"/>
      <c r="H28" s="2"/>
      <c r="I28" s="2"/>
      <c r="J28" s="2"/>
      <c r="K28" s="2"/>
      <c r="L28" s="2"/>
      <c r="M28" s="2"/>
      <c r="N28" s="2"/>
      <c r="O28" s="2"/>
      <c r="P28" s="2"/>
      <c r="Q28" s="2"/>
      <c r="R28" s="2"/>
      <c r="S28" s="2"/>
      <c r="T28" s="2"/>
      <c r="U28" s="2"/>
      <c r="V28" s="2"/>
      <c r="W28" s="2"/>
      <c r="X28" s="2"/>
    </row>
    <row r="29" spans="1:24" x14ac:dyDescent="0.3">
      <c r="A29" s="2"/>
      <c r="B29" s="2"/>
      <c r="C29" s="2"/>
      <c r="D29" s="2"/>
      <c r="E29" s="2"/>
      <c r="F29" s="2"/>
      <c r="G29" s="2"/>
      <c r="H29" s="2"/>
      <c r="I29" s="2"/>
      <c r="J29" s="2"/>
      <c r="K29" s="2"/>
      <c r="L29" s="2"/>
      <c r="M29" s="2"/>
      <c r="N29" s="2"/>
      <c r="O29" s="2"/>
      <c r="P29" s="2"/>
      <c r="Q29" s="2"/>
      <c r="R29" s="2"/>
      <c r="S29" s="2"/>
      <c r="T29" s="2"/>
      <c r="U29" s="2"/>
      <c r="V29" s="2"/>
      <c r="W29" s="2"/>
      <c r="X29" s="2"/>
    </row>
    <row r="30" spans="1:24" x14ac:dyDescent="0.3">
      <c r="A30" s="2"/>
      <c r="B30" s="2"/>
      <c r="C30" s="2"/>
      <c r="D30" s="2"/>
      <c r="E30" s="2"/>
      <c r="F30" s="2"/>
      <c r="G30" s="2"/>
      <c r="H30" s="2"/>
      <c r="I30" s="2"/>
      <c r="J30" s="2"/>
      <c r="K30" s="2"/>
      <c r="L30" s="2"/>
      <c r="M30" s="2"/>
      <c r="N30" s="2"/>
      <c r="O30" s="2"/>
      <c r="P30" s="2"/>
      <c r="Q30" s="2"/>
      <c r="R30" s="2"/>
      <c r="S30" s="2"/>
      <c r="T30" s="2"/>
      <c r="U30" s="2"/>
      <c r="V30" s="2"/>
      <c r="W30" s="2"/>
      <c r="X30" s="2"/>
    </row>
    <row r="31" spans="1:24" x14ac:dyDescent="0.3">
      <c r="A31" s="2"/>
      <c r="B31" s="2"/>
      <c r="C31" s="2"/>
      <c r="D31" s="2"/>
      <c r="E31" s="2"/>
      <c r="F31" s="2"/>
      <c r="G31" s="2"/>
      <c r="H31" s="2"/>
      <c r="I31" s="2"/>
      <c r="J31" s="2"/>
      <c r="K31" s="2"/>
      <c r="L31" s="2"/>
      <c r="M31" s="2"/>
      <c r="N31" s="2"/>
      <c r="O31" s="2"/>
      <c r="P31" s="2"/>
      <c r="Q31" s="2"/>
      <c r="R31" s="2"/>
      <c r="S31" s="2"/>
      <c r="T31" s="2"/>
      <c r="U31" s="2"/>
      <c r="V31" s="2"/>
      <c r="W31" s="2"/>
      <c r="X31" s="2"/>
    </row>
    <row r="32" spans="1:24" x14ac:dyDescent="0.3">
      <c r="A32" s="2"/>
      <c r="B32" s="2"/>
      <c r="C32" s="2"/>
      <c r="D32" s="2"/>
      <c r="E32" s="2"/>
      <c r="F32" s="2"/>
      <c r="G32" s="2"/>
      <c r="H32" s="2"/>
      <c r="I32" s="2"/>
      <c r="J32" s="2"/>
      <c r="K32" s="2"/>
      <c r="L32" s="2"/>
      <c r="M32" s="2"/>
      <c r="N32" s="2"/>
      <c r="O32" s="2"/>
      <c r="P32" s="2"/>
      <c r="Q32" s="2"/>
      <c r="R32" s="2"/>
      <c r="S32" s="2"/>
      <c r="T32" s="2"/>
      <c r="U32" s="2"/>
      <c r="V32" s="2"/>
      <c r="W32" s="2"/>
      <c r="X32" s="2"/>
    </row>
    <row r="33" spans="1:24" x14ac:dyDescent="0.3">
      <c r="A33" s="2"/>
      <c r="B33" s="2"/>
      <c r="C33" s="2"/>
      <c r="D33" s="2"/>
      <c r="E33" s="2"/>
      <c r="F33" s="2"/>
      <c r="G33" s="2"/>
      <c r="H33" s="2"/>
      <c r="I33" s="2"/>
      <c r="J33" s="2"/>
      <c r="K33" s="2"/>
      <c r="L33" s="2"/>
      <c r="M33" s="2"/>
      <c r="N33" s="2"/>
      <c r="O33" s="2"/>
      <c r="P33" s="2"/>
      <c r="Q33" s="2"/>
      <c r="R33" s="2"/>
      <c r="S33" s="2"/>
      <c r="T33" s="2"/>
      <c r="U33" s="2"/>
      <c r="V33" s="2"/>
      <c r="W33" s="2"/>
      <c r="X33" s="2"/>
    </row>
    <row r="34" spans="1:24" x14ac:dyDescent="0.3">
      <c r="A34" s="2"/>
      <c r="B34" s="2"/>
      <c r="C34" s="2"/>
      <c r="D34" s="2"/>
      <c r="E34" s="2"/>
      <c r="F34" s="2"/>
      <c r="G34" s="2"/>
      <c r="H34" s="2"/>
      <c r="I34" s="2"/>
      <c r="J34" s="2"/>
      <c r="K34" s="2"/>
      <c r="L34" s="2"/>
      <c r="M34" s="2"/>
      <c r="N34" s="2"/>
      <c r="O34" s="2"/>
      <c r="P34" s="2"/>
      <c r="Q34" s="2"/>
      <c r="R34" s="2"/>
      <c r="S34" s="2"/>
      <c r="T34" s="2"/>
      <c r="U34" s="2"/>
      <c r="V34" s="2"/>
      <c r="W34" s="2"/>
      <c r="X34" s="2"/>
    </row>
    <row r="35" spans="1:24" x14ac:dyDescent="0.3">
      <c r="A35" s="2"/>
      <c r="B35" s="2"/>
      <c r="C35" s="2"/>
      <c r="D35" s="2"/>
      <c r="E35" s="2"/>
      <c r="F35" s="2"/>
      <c r="G35" s="2"/>
      <c r="H35" s="2"/>
      <c r="I35" s="2"/>
      <c r="J35" s="2"/>
      <c r="K35" s="2"/>
      <c r="L35" s="2"/>
      <c r="M35" s="2"/>
      <c r="N35" s="2"/>
      <c r="O35" s="2"/>
      <c r="P35" s="2"/>
      <c r="Q35" s="2"/>
      <c r="R35" s="2"/>
      <c r="S35" s="2"/>
      <c r="T35" s="2"/>
      <c r="U35" s="2"/>
      <c r="V35" s="2"/>
      <c r="W35" s="2"/>
      <c r="X35" s="2"/>
    </row>
    <row r="36" spans="1:24" x14ac:dyDescent="0.3">
      <c r="A36" s="2"/>
      <c r="B36" s="2"/>
      <c r="C36" s="2"/>
      <c r="D36" s="2"/>
      <c r="E36" s="2"/>
      <c r="F36" s="2"/>
      <c r="G36" s="2"/>
      <c r="H36" s="2"/>
      <c r="I36" s="2"/>
      <c r="J36" s="2"/>
      <c r="K36" s="2"/>
      <c r="L36" s="2"/>
      <c r="M36" s="2"/>
      <c r="N36" s="2"/>
      <c r="O36" s="2"/>
      <c r="P36" s="2"/>
      <c r="Q36" s="2"/>
      <c r="R36" s="2"/>
      <c r="S36" s="2"/>
      <c r="T36" s="2"/>
      <c r="U36" s="2"/>
      <c r="V36" s="2"/>
      <c r="W36" s="2"/>
      <c r="X36" s="2"/>
    </row>
    <row r="37" spans="1:24" x14ac:dyDescent="0.3">
      <c r="A37" s="2"/>
      <c r="B37" s="2"/>
      <c r="C37" s="2"/>
      <c r="D37" s="2"/>
      <c r="E37" s="2"/>
      <c r="F37" s="2"/>
      <c r="G37" s="2"/>
      <c r="H37" s="2"/>
      <c r="I37" s="2"/>
      <c r="J37" s="2"/>
      <c r="K37" s="2"/>
      <c r="L37" s="2"/>
      <c r="M37" s="2"/>
      <c r="N37" s="2"/>
      <c r="O37" s="2"/>
      <c r="P37" s="2"/>
      <c r="Q37" s="2"/>
      <c r="R37" s="2"/>
      <c r="S37" s="2"/>
      <c r="T37" s="2"/>
      <c r="U37" s="2"/>
      <c r="V37" s="2"/>
      <c r="W37" s="2"/>
      <c r="X37" s="2"/>
    </row>
    <row r="38" spans="1:24" x14ac:dyDescent="0.3">
      <c r="A38" s="2"/>
      <c r="B38" s="2"/>
      <c r="C38" s="2"/>
      <c r="D38" s="2"/>
      <c r="E38" s="2"/>
      <c r="F38" s="2"/>
      <c r="G38" s="2"/>
      <c r="H38" s="2"/>
      <c r="I38" s="2"/>
      <c r="J38" s="2"/>
      <c r="K38" s="2"/>
      <c r="L38" s="2"/>
      <c r="M38" s="2"/>
      <c r="N38" s="2"/>
      <c r="O38" s="2"/>
      <c r="P38" s="2"/>
      <c r="Q38" s="2"/>
      <c r="R38" s="2"/>
      <c r="S38" s="2"/>
      <c r="T38" s="2"/>
      <c r="U38" s="2"/>
      <c r="V38" s="2"/>
      <c r="W38" s="2"/>
      <c r="X38" s="2"/>
    </row>
    <row r="39" spans="1:24" x14ac:dyDescent="0.3">
      <c r="A39" s="2"/>
      <c r="B39" s="2"/>
      <c r="C39" s="2"/>
      <c r="D39" s="2"/>
      <c r="E39" s="2"/>
      <c r="F39" s="2"/>
      <c r="G39" s="2"/>
      <c r="H39" s="2"/>
      <c r="I39" s="2"/>
      <c r="J39" s="2"/>
      <c r="K39" s="2"/>
      <c r="L39" s="2"/>
      <c r="M39" s="2"/>
      <c r="N39" s="2"/>
      <c r="O39" s="2"/>
      <c r="P39" s="2"/>
      <c r="Q39" s="2"/>
      <c r="R39" s="2"/>
      <c r="S39" s="2"/>
      <c r="T39" s="2"/>
      <c r="U39" s="2"/>
      <c r="V39" s="2"/>
      <c r="W39" s="2"/>
      <c r="X39" s="2"/>
    </row>
    <row r="40" spans="1:24" x14ac:dyDescent="0.3">
      <c r="A40" s="2"/>
      <c r="B40" s="2"/>
      <c r="C40" s="2"/>
      <c r="D40" s="2"/>
      <c r="E40" s="2"/>
      <c r="F40" s="2"/>
      <c r="G40" s="2"/>
      <c r="H40" s="2"/>
      <c r="I40" s="2"/>
      <c r="J40" s="2"/>
      <c r="K40" s="2"/>
      <c r="L40" s="2"/>
      <c r="M40" s="2"/>
      <c r="N40" s="2"/>
      <c r="O40" s="2"/>
      <c r="P40" s="2"/>
      <c r="Q40" s="2"/>
      <c r="R40" s="2"/>
      <c r="S40" s="2"/>
      <c r="T40" s="2"/>
      <c r="U40" s="2"/>
      <c r="V40" s="2"/>
      <c r="W40" s="2"/>
      <c r="X40" s="2"/>
    </row>
    <row r="41" spans="1:24" x14ac:dyDescent="0.3">
      <c r="A41" s="2"/>
      <c r="B41" s="2"/>
      <c r="C41" s="2"/>
      <c r="D41" s="2"/>
      <c r="E41" s="2"/>
      <c r="F41" s="2"/>
      <c r="G41" s="2"/>
      <c r="H41" s="2"/>
      <c r="I41" s="2"/>
      <c r="J41" s="2"/>
      <c r="K41" s="2"/>
      <c r="L41" s="2"/>
      <c r="M41" s="2"/>
      <c r="N41" s="2"/>
      <c r="O41" s="2"/>
      <c r="P41" s="2"/>
      <c r="Q41" s="2"/>
      <c r="R41" s="2"/>
      <c r="S41" s="2"/>
      <c r="T41" s="2"/>
      <c r="U41" s="2"/>
      <c r="V41" s="2"/>
      <c r="W41" s="2"/>
      <c r="X41" s="2"/>
    </row>
    <row r="42" spans="1:24" x14ac:dyDescent="0.3">
      <c r="A42" s="2"/>
      <c r="B42" s="2"/>
      <c r="C42" s="2"/>
      <c r="D42" s="2"/>
      <c r="E42" s="2"/>
      <c r="F42" s="2"/>
      <c r="G42" s="2"/>
      <c r="H42" s="2"/>
      <c r="I42" s="2"/>
      <c r="J42" s="2"/>
      <c r="K42" s="2"/>
      <c r="L42" s="2"/>
      <c r="M42" s="2"/>
      <c r="N42" s="2"/>
      <c r="O42" s="2"/>
      <c r="P42" s="2"/>
      <c r="Q42" s="2"/>
      <c r="R42" s="2"/>
      <c r="S42" s="2"/>
      <c r="T42" s="2"/>
      <c r="U42" s="2"/>
      <c r="V42" s="2"/>
      <c r="W42" s="2"/>
      <c r="X42" s="2"/>
    </row>
    <row r="43" spans="1:24" x14ac:dyDescent="0.3">
      <c r="A43" s="2"/>
      <c r="B43" s="2"/>
      <c r="C43" s="2"/>
      <c r="D43" s="2"/>
      <c r="E43" s="2"/>
      <c r="F43" s="2"/>
      <c r="G43" s="2"/>
      <c r="H43" s="2"/>
      <c r="I43" s="2"/>
      <c r="J43" s="2"/>
      <c r="K43" s="2"/>
      <c r="L43" s="2"/>
      <c r="M43" s="2"/>
      <c r="N43" s="2"/>
      <c r="O43" s="2"/>
      <c r="P43" s="2"/>
      <c r="Q43" s="2"/>
      <c r="R43" s="2"/>
      <c r="S43" s="2"/>
      <c r="T43" s="2"/>
      <c r="U43" s="2"/>
      <c r="V43" s="2"/>
      <c r="W43" s="2"/>
      <c r="X43" s="2"/>
    </row>
    <row r="44" spans="1:24" x14ac:dyDescent="0.3">
      <c r="A44" s="2"/>
      <c r="B44" s="2"/>
      <c r="C44" s="2"/>
      <c r="D44" s="2"/>
      <c r="E44" s="2"/>
      <c r="F44" s="2"/>
      <c r="G44" s="2"/>
      <c r="H44" s="2"/>
      <c r="I44" s="2"/>
      <c r="J44" s="2"/>
      <c r="K44" s="2"/>
      <c r="L44" s="2"/>
      <c r="M44" s="2"/>
      <c r="N44" s="2"/>
      <c r="O44" s="2"/>
      <c r="P44" s="2"/>
      <c r="Q44" s="2"/>
      <c r="R44" s="2"/>
      <c r="S44" s="2"/>
      <c r="T44" s="2"/>
      <c r="U44" s="2"/>
      <c r="V44" s="2"/>
      <c r="W44" s="2"/>
      <c r="X44" s="2"/>
    </row>
    <row r="45" spans="1:24" x14ac:dyDescent="0.3">
      <c r="A45" s="2"/>
      <c r="B45" s="2"/>
      <c r="C45" s="2"/>
      <c r="D45" s="2"/>
      <c r="E45" s="2"/>
      <c r="F45" s="2"/>
      <c r="G45" s="2"/>
      <c r="H45" s="2"/>
      <c r="I45" s="2"/>
      <c r="J45" s="2"/>
      <c r="K45" s="2"/>
      <c r="L45" s="2"/>
      <c r="M45" s="2"/>
      <c r="N45" s="2"/>
      <c r="O45" s="2"/>
      <c r="P45" s="2"/>
      <c r="Q45" s="2"/>
      <c r="R45" s="2"/>
      <c r="S45" s="2"/>
      <c r="T45" s="2"/>
      <c r="U45" s="2"/>
      <c r="V45" s="2"/>
      <c r="W45" s="2"/>
      <c r="X45" s="2"/>
    </row>
    <row r="46" spans="1:24" x14ac:dyDescent="0.3">
      <c r="A46" s="2"/>
      <c r="B46" s="2"/>
      <c r="C46" s="2"/>
      <c r="D46" s="2"/>
      <c r="E46" s="2"/>
      <c r="F46" s="2"/>
      <c r="G46" s="2"/>
      <c r="H46" s="2"/>
      <c r="I46" s="2"/>
      <c r="J46" s="2"/>
      <c r="K46" s="2"/>
      <c r="L46" s="2"/>
      <c r="M46" s="2"/>
      <c r="N46" s="2"/>
      <c r="O46" s="2"/>
      <c r="P46" s="2"/>
      <c r="Q46" s="2"/>
      <c r="R46" s="2"/>
      <c r="S46" s="2"/>
      <c r="T46" s="2"/>
      <c r="U46" s="2"/>
      <c r="V46" s="2"/>
      <c r="W46" s="2"/>
      <c r="X46" s="2"/>
    </row>
    <row r="47" spans="1:24" x14ac:dyDescent="0.3">
      <c r="A47" s="2"/>
      <c r="B47" s="2"/>
      <c r="C47" s="2"/>
      <c r="D47" s="2"/>
      <c r="E47" s="2"/>
      <c r="F47" s="2"/>
      <c r="G47" s="2"/>
      <c r="H47" s="2"/>
      <c r="I47" s="2"/>
      <c r="J47" s="2"/>
      <c r="K47" s="2"/>
      <c r="L47" s="2"/>
      <c r="M47" s="2"/>
      <c r="N47" s="2"/>
      <c r="O47" s="2"/>
      <c r="P47" s="2"/>
      <c r="Q47" s="2"/>
      <c r="R47" s="2"/>
      <c r="S47" s="2"/>
      <c r="T47" s="2"/>
      <c r="U47" s="2"/>
      <c r="V47" s="2"/>
      <c r="W47" s="2"/>
      <c r="X47" s="2"/>
    </row>
    <row r="48" spans="1:24" x14ac:dyDescent="0.3">
      <c r="A48" s="2"/>
      <c r="B48" s="2"/>
      <c r="C48" s="2"/>
      <c r="D48" s="2"/>
      <c r="E48" s="2"/>
      <c r="F48" s="2"/>
      <c r="G48" s="2"/>
      <c r="H48" s="2"/>
      <c r="I48" s="2"/>
      <c r="J48" s="2"/>
      <c r="K48" s="2"/>
      <c r="L48" s="2"/>
      <c r="M48" s="2"/>
      <c r="N48" s="2"/>
      <c r="O48" s="2"/>
      <c r="P48" s="2"/>
      <c r="Q48" s="2"/>
      <c r="R48" s="2"/>
      <c r="S48" s="2"/>
      <c r="T48" s="2"/>
      <c r="U48" s="2"/>
      <c r="V48" s="2"/>
      <c r="W48" s="2"/>
      <c r="X48" s="2"/>
    </row>
    <row r="49" spans="1:24" x14ac:dyDescent="0.3">
      <c r="A49" s="2"/>
      <c r="B49" s="2"/>
      <c r="C49" s="2"/>
      <c r="D49" s="2"/>
      <c r="E49" s="2"/>
      <c r="F49" s="2"/>
      <c r="G49" s="2"/>
      <c r="H49" s="2"/>
      <c r="I49" s="2"/>
      <c r="J49" s="2"/>
      <c r="K49" s="2"/>
      <c r="L49" s="2"/>
      <c r="M49" s="2"/>
      <c r="N49" s="2"/>
      <c r="O49" s="2"/>
      <c r="P49" s="2"/>
      <c r="Q49" s="2"/>
      <c r="R49" s="2"/>
      <c r="S49" s="2"/>
      <c r="T49" s="2"/>
      <c r="U49" s="2"/>
      <c r="V49" s="2"/>
      <c r="W49" s="2"/>
      <c r="X49" s="2"/>
    </row>
    <row r="50" spans="1:24" x14ac:dyDescent="0.3">
      <c r="A50" s="2"/>
      <c r="B50" s="2"/>
      <c r="C50" s="2"/>
      <c r="D50" s="2"/>
      <c r="E50" s="2"/>
      <c r="F50" s="2"/>
      <c r="G50" s="2"/>
      <c r="H50" s="2"/>
      <c r="I50" s="2"/>
      <c r="J50" s="2"/>
      <c r="K50" s="2"/>
      <c r="L50" s="2"/>
      <c r="M50" s="2"/>
      <c r="N50" s="2"/>
      <c r="O50" s="2"/>
      <c r="P50" s="2"/>
      <c r="Q50" s="2"/>
      <c r="R50" s="2"/>
      <c r="S50" s="2"/>
      <c r="T50" s="2"/>
      <c r="U50" s="2"/>
      <c r="V50" s="2"/>
      <c r="W50" s="2"/>
      <c r="X50" s="2"/>
    </row>
    <row r="51" spans="1:24" x14ac:dyDescent="0.3">
      <c r="A51" s="2"/>
      <c r="B51" s="2"/>
      <c r="C51" s="2"/>
      <c r="D51" s="2"/>
      <c r="E51" s="2"/>
      <c r="F51" s="2"/>
      <c r="G51" s="2"/>
      <c r="H51" s="2"/>
      <c r="I51" s="2"/>
      <c r="J51" s="2"/>
      <c r="K51" s="2"/>
      <c r="L51" s="2"/>
      <c r="M51" s="2"/>
      <c r="N51" s="2"/>
      <c r="O51" s="2"/>
      <c r="P51" s="2"/>
      <c r="Q51" s="2"/>
      <c r="R51" s="2"/>
      <c r="S51" s="2"/>
      <c r="T51" s="2"/>
      <c r="U51" s="2"/>
      <c r="V51" s="2"/>
      <c r="W51" s="2"/>
      <c r="X51" s="2"/>
    </row>
    <row r="52" spans="1:24" x14ac:dyDescent="0.3">
      <c r="A52" s="2"/>
      <c r="B52" s="2"/>
      <c r="C52" s="2"/>
      <c r="D52" s="2"/>
      <c r="E52" s="2"/>
      <c r="F52" s="2"/>
      <c r="G52" s="2"/>
      <c r="H52" s="2"/>
      <c r="I52" s="2"/>
      <c r="J52" s="2"/>
      <c r="K52" s="2"/>
      <c r="L52" s="2"/>
      <c r="M52" s="2"/>
      <c r="N52" s="2"/>
      <c r="O52" s="2"/>
      <c r="P52" s="2"/>
      <c r="Q52" s="2"/>
      <c r="R52" s="2"/>
      <c r="S52" s="2"/>
      <c r="T52" s="2"/>
      <c r="U52" s="2"/>
      <c r="V52" s="2"/>
      <c r="W52" s="2"/>
      <c r="X52" s="2"/>
    </row>
    <row r="53" spans="1:24" x14ac:dyDescent="0.3">
      <c r="A53" s="2"/>
      <c r="B53" s="2"/>
      <c r="C53" s="2"/>
      <c r="D53" s="2"/>
      <c r="E53" s="2"/>
      <c r="F53" s="2"/>
      <c r="G53" s="2"/>
      <c r="H53" s="2"/>
      <c r="I53" s="2"/>
      <c r="J53" s="2"/>
      <c r="K53" s="2"/>
      <c r="L53" s="2"/>
      <c r="M53" s="2"/>
      <c r="N53" s="2"/>
      <c r="O53" s="2"/>
      <c r="P53" s="2"/>
      <c r="Q53" s="2"/>
      <c r="R53" s="2"/>
      <c r="S53" s="2"/>
      <c r="T53" s="2"/>
      <c r="U53" s="2"/>
      <c r="V53" s="2"/>
      <c r="W53" s="2"/>
      <c r="X53" s="2"/>
    </row>
    <row r="54" spans="1:24" x14ac:dyDescent="0.3">
      <c r="A54" s="2"/>
      <c r="B54" s="2"/>
      <c r="C54" s="2"/>
      <c r="D54" s="2"/>
      <c r="E54" s="2"/>
      <c r="F54" s="2"/>
      <c r="G54" s="2"/>
      <c r="H54" s="2"/>
      <c r="I54" s="2"/>
      <c r="J54" s="2"/>
      <c r="K54" s="2"/>
      <c r="L54" s="2"/>
      <c r="M54" s="2"/>
      <c r="N54" s="2"/>
      <c r="O54" s="2"/>
      <c r="P54" s="2"/>
      <c r="Q54" s="2"/>
      <c r="R54" s="2"/>
      <c r="S54" s="2"/>
      <c r="T54" s="2"/>
      <c r="U54" s="2"/>
      <c r="V54" s="2"/>
      <c r="W54" s="2"/>
      <c r="X54" s="2"/>
    </row>
    <row r="55" spans="1:24" x14ac:dyDescent="0.3">
      <c r="A55" s="2"/>
      <c r="B55" s="2"/>
      <c r="C55" s="2"/>
      <c r="D55" s="2"/>
      <c r="E55" s="2"/>
      <c r="F55" s="2"/>
      <c r="G55" s="2"/>
      <c r="H55" s="2"/>
      <c r="I55" s="2"/>
      <c r="J55" s="2"/>
      <c r="K55" s="2"/>
      <c r="L55" s="2"/>
      <c r="M55" s="2"/>
      <c r="N55" s="2"/>
      <c r="O55" s="2"/>
      <c r="P55" s="2"/>
      <c r="Q55" s="2"/>
      <c r="R55" s="2"/>
      <c r="S55" s="2"/>
      <c r="T55" s="2"/>
      <c r="U55" s="2"/>
      <c r="V55" s="2"/>
      <c r="W55" s="2"/>
      <c r="X55" s="2"/>
    </row>
    <row r="56" spans="1:24" x14ac:dyDescent="0.3">
      <c r="A56" s="2"/>
      <c r="B56" s="2"/>
      <c r="C56" s="2"/>
      <c r="D56" s="2"/>
      <c r="E56" s="2"/>
      <c r="F56" s="2"/>
      <c r="G56" s="2"/>
      <c r="H56" s="2"/>
      <c r="I56" s="2"/>
      <c r="J56" s="2"/>
      <c r="K56" s="2"/>
      <c r="L56" s="2"/>
      <c r="M56" s="2"/>
      <c r="N56" s="2"/>
      <c r="O56" s="2"/>
      <c r="P56" s="2"/>
      <c r="Q56" s="2"/>
      <c r="R56" s="2"/>
      <c r="S56" s="2"/>
      <c r="T56" s="2"/>
      <c r="U56" s="2"/>
      <c r="V56" s="2"/>
      <c r="W56" s="2"/>
      <c r="X56" s="2"/>
    </row>
    <row r="57" spans="1:24" x14ac:dyDescent="0.3">
      <c r="A57" s="2"/>
      <c r="B57" s="2"/>
      <c r="C57" s="2"/>
      <c r="D57" s="2"/>
      <c r="E57" s="2"/>
      <c r="F57" s="2"/>
      <c r="G57" s="2"/>
      <c r="H57" s="2"/>
      <c r="I57" s="2"/>
      <c r="J57" s="2"/>
      <c r="K57" s="2"/>
      <c r="L57" s="2"/>
      <c r="M57" s="2"/>
      <c r="N57" s="2"/>
      <c r="O57" s="2"/>
      <c r="P57" s="2"/>
      <c r="Q57" s="2"/>
      <c r="R57" s="2"/>
      <c r="S57" s="2"/>
      <c r="T57" s="2"/>
      <c r="U57" s="2"/>
      <c r="V57" s="2"/>
      <c r="W57" s="2"/>
      <c r="X57" s="2"/>
    </row>
    <row r="58" spans="1:24" x14ac:dyDescent="0.3">
      <c r="A58" s="2"/>
      <c r="B58" s="2"/>
      <c r="C58" s="2"/>
      <c r="D58" s="2"/>
      <c r="E58" s="2"/>
      <c r="F58" s="2"/>
      <c r="G58" s="2"/>
      <c r="H58" s="2"/>
      <c r="I58" s="2"/>
      <c r="J58" s="2"/>
      <c r="K58" s="2"/>
      <c r="L58" s="2"/>
      <c r="M58" s="2"/>
      <c r="N58" s="2"/>
      <c r="O58" s="2"/>
      <c r="P58" s="2"/>
      <c r="Q58" s="2"/>
      <c r="R58" s="2"/>
      <c r="S58" s="2"/>
      <c r="T58" s="2"/>
      <c r="U58" s="2"/>
      <c r="V58" s="2"/>
      <c r="W58" s="2"/>
      <c r="X58" s="2"/>
    </row>
    <row r="59" spans="1:24" x14ac:dyDescent="0.3">
      <c r="A59" s="2"/>
      <c r="B59" s="2"/>
      <c r="C59" s="2"/>
      <c r="D59" s="2"/>
      <c r="E59" s="2"/>
      <c r="F59" s="2"/>
      <c r="G59" s="2"/>
      <c r="H59" s="2"/>
      <c r="I59" s="2"/>
      <c r="J59" s="2"/>
      <c r="K59" s="2"/>
      <c r="L59" s="2"/>
      <c r="M59" s="2"/>
      <c r="N59" s="2"/>
      <c r="O59" s="2"/>
      <c r="P59" s="2"/>
      <c r="Q59" s="2"/>
      <c r="R59" s="2"/>
      <c r="S59" s="2"/>
      <c r="T59" s="2"/>
      <c r="U59" s="2"/>
      <c r="V59" s="2"/>
      <c r="W59" s="2"/>
      <c r="X59" s="2"/>
    </row>
    <row r="60" spans="1:24" x14ac:dyDescent="0.3">
      <c r="A60" s="2"/>
      <c r="B60" s="2"/>
      <c r="C60" s="2"/>
      <c r="D60" s="2"/>
      <c r="E60" s="2"/>
      <c r="F60" s="2"/>
      <c r="G60" s="2"/>
      <c r="H60" s="2"/>
      <c r="I60" s="2"/>
      <c r="J60" s="2"/>
      <c r="K60" s="2"/>
      <c r="L60" s="2"/>
      <c r="M60" s="2"/>
      <c r="N60" s="2"/>
      <c r="O60" s="2"/>
      <c r="P60" s="2"/>
      <c r="Q60" s="2"/>
      <c r="R60" s="2"/>
      <c r="S60" s="2"/>
      <c r="T60" s="2"/>
      <c r="U60" s="2"/>
      <c r="V60" s="2"/>
      <c r="W60" s="2"/>
      <c r="X60"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8FE69-033F-475E-94DE-BC2F86C94E58}">
  <dimension ref="A1:Q32"/>
  <sheetViews>
    <sheetView workbookViewId="0"/>
  </sheetViews>
  <sheetFormatPr defaultRowHeight="14.4" x14ac:dyDescent="0.3"/>
  <sheetData>
    <row r="1" spans="1:17" x14ac:dyDescent="0.3">
      <c r="A1" s="7"/>
      <c r="B1" s="7"/>
      <c r="C1" s="7"/>
      <c r="D1" s="7"/>
      <c r="E1" s="7"/>
      <c r="F1" s="7"/>
      <c r="G1" s="7"/>
      <c r="H1" s="7"/>
      <c r="I1" s="7"/>
      <c r="J1" s="7"/>
      <c r="K1" s="7"/>
      <c r="L1" s="7"/>
      <c r="M1" s="7"/>
      <c r="N1" s="7"/>
      <c r="O1" s="7"/>
      <c r="P1" s="7"/>
      <c r="Q1" s="7"/>
    </row>
    <row r="2" spans="1:17" x14ac:dyDescent="0.3">
      <c r="A2" s="7"/>
      <c r="B2" s="7"/>
      <c r="C2" s="7"/>
      <c r="D2" s="7"/>
      <c r="E2" s="7"/>
      <c r="F2" s="7"/>
      <c r="G2" s="7"/>
      <c r="H2" s="7"/>
      <c r="I2" s="7"/>
      <c r="J2" s="7"/>
      <c r="K2" s="7"/>
      <c r="L2" s="7"/>
      <c r="M2" s="7"/>
      <c r="N2" s="7"/>
      <c r="O2" s="7"/>
      <c r="P2" s="7"/>
      <c r="Q2" s="7"/>
    </row>
    <row r="3" spans="1:17" x14ac:dyDescent="0.3">
      <c r="A3" s="7"/>
      <c r="B3" s="7"/>
      <c r="C3" s="7"/>
      <c r="D3" s="7"/>
      <c r="E3" s="7"/>
      <c r="F3" s="7"/>
      <c r="G3" s="7"/>
      <c r="H3" s="7"/>
      <c r="I3" s="7"/>
      <c r="J3" s="7"/>
      <c r="K3" s="7"/>
      <c r="L3" s="7"/>
      <c r="M3" s="7"/>
      <c r="N3" s="7"/>
      <c r="O3" s="7"/>
      <c r="P3" s="7"/>
      <c r="Q3" s="7"/>
    </row>
    <row r="4" spans="1:17" x14ac:dyDescent="0.3">
      <c r="A4" s="7"/>
      <c r="B4" s="7"/>
      <c r="C4" s="7"/>
      <c r="D4" s="7"/>
      <c r="E4" s="7"/>
      <c r="F4" s="7"/>
      <c r="G4" s="7"/>
      <c r="H4" s="7"/>
      <c r="I4" s="7"/>
      <c r="J4" s="7"/>
      <c r="K4" s="7"/>
      <c r="L4" s="7"/>
      <c r="M4" s="7"/>
      <c r="N4" s="7"/>
      <c r="O4" s="7"/>
      <c r="P4" s="7"/>
      <c r="Q4" s="7"/>
    </row>
    <row r="5" spans="1:17" x14ac:dyDescent="0.3">
      <c r="A5" s="7"/>
      <c r="B5" s="7"/>
      <c r="C5" s="7"/>
      <c r="D5" s="7"/>
      <c r="E5" s="7"/>
      <c r="F5" s="7"/>
      <c r="G5" s="7"/>
      <c r="H5" s="7"/>
      <c r="I5" s="7"/>
      <c r="J5" s="7"/>
      <c r="K5" s="7"/>
      <c r="L5" s="7"/>
      <c r="M5" s="7"/>
      <c r="N5" s="7"/>
      <c r="O5" s="7"/>
      <c r="P5" s="7"/>
      <c r="Q5" s="7"/>
    </row>
    <row r="6" spans="1:17" x14ac:dyDescent="0.3">
      <c r="A6" s="7"/>
      <c r="B6" s="7"/>
      <c r="C6" s="7"/>
      <c r="D6" s="7"/>
      <c r="E6" s="7"/>
      <c r="F6" s="7"/>
      <c r="G6" s="7"/>
      <c r="H6" s="7"/>
      <c r="I6" s="7"/>
      <c r="J6" s="7"/>
      <c r="K6" s="7"/>
      <c r="L6" s="7"/>
      <c r="M6" s="7"/>
      <c r="N6" s="7"/>
      <c r="O6" s="7"/>
      <c r="P6" s="7"/>
      <c r="Q6" s="7"/>
    </row>
    <row r="7" spans="1:17" x14ac:dyDescent="0.3">
      <c r="A7" s="7"/>
      <c r="B7" s="7"/>
      <c r="C7" s="7"/>
      <c r="D7" s="7"/>
      <c r="E7" s="7"/>
      <c r="F7" s="7"/>
      <c r="G7" s="7"/>
      <c r="H7" s="7"/>
      <c r="I7" s="7"/>
      <c r="J7" s="7"/>
      <c r="K7" s="7"/>
      <c r="L7" s="7"/>
      <c r="M7" s="7"/>
      <c r="N7" s="7"/>
      <c r="O7" s="7"/>
      <c r="P7" s="7"/>
      <c r="Q7" s="7"/>
    </row>
    <row r="8" spans="1:17" x14ac:dyDescent="0.3">
      <c r="A8" s="7"/>
      <c r="B8" s="7"/>
      <c r="C8" s="7"/>
      <c r="D8" s="7"/>
      <c r="E8" s="7"/>
      <c r="F8" s="7"/>
      <c r="G8" s="7"/>
      <c r="H8" s="7"/>
      <c r="I8" s="7"/>
      <c r="J8" s="7"/>
      <c r="K8" s="7"/>
      <c r="L8" s="7"/>
      <c r="M8" s="7"/>
      <c r="N8" s="7"/>
      <c r="O8" s="7"/>
      <c r="P8" s="7"/>
      <c r="Q8" s="7"/>
    </row>
    <row r="9" spans="1:17" x14ac:dyDescent="0.3">
      <c r="A9" s="7"/>
      <c r="B9" s="7"/>
      <c r="C9" s="7"/>
      <c r="D9" s="7"/>
      <c r="E9" s="7"/>
      <c r="F9" s="7"/>
      <c r="G9" s="7"/>
      <c r="H9" s="7"/>
      <c r="I9" s="7"/>
      <c r="J9" s="7"/>
      <c r="K9" s="7"/>
      <c r="L9" s="7"/>
      <c r="M9" s="7"/>
      <c r="N9" s="7"/>
      <c r="O9" s="7"/>
      <c r="P9" s="7"/>
      <c r="Q9" s="7"/>
    </row>
    <row r="10" spans="1:17" x14ac:dyDescent="0.3">
      <c r="A10" s="7"/>
      <c r="B10" s="7"/>
      <c r="C10" s="7"/>
      <c r="D10" s="7"/>
      <c r="E10" s="7"/>
      <c r="F10" s="7"/>
      <c r="G10" s="7"/>
      <c r="H10" s="7"/>
      <c r="I10" s="7"/>
      <c r="J10" s="7"/>
      <c r="K10" s="7"/>
      <c r="L10" s="7"/>
      <c r="M10" s="7"/>
      <c r="N10" s="7"/>
      <c r="O10" s="7"/>
      <c r="P10" s="7"/>
      <c r="Q10" s="7"/>
    </row>
    <row r="11" spans="1:17" x14ac:dyDescent="0.3">
      <c r="A11" s="7"/>
      <c r="B11" s="7"/>
      <c r="C11" s="7"/>
      <c r="D11" s="7"/>
      <c r="E11" s="7"/>
      <c r="F11" s="7"/>
      <c r="G11" s="7"/>
      <c r="H11" s="7"/>
      <c r="I11" s="7"/>
      <c r="J11" s="7"/>
      <c r="K11" s="7"/>
      <c r="L11" s="7"/>
      <c r="M11" s="7"/>
      <c r="N11" s="7"/>
      <c r="O11" s="7"/>
      <c r="P11" s="7"/>
      <c r="Q11" s="7"/>
    </row>
    <row r="12" spans="1:17" x14ac:dyDescent="0.3">
      <c r="A12" s="7"/>
      <c r="B12" s="7"/>
      <c r="C12" s="7"/>
      <c r="D12" s="7"/>
      <c r="E12" s="7"/>
      <c r="F12" s="7"/>
      <c r="G12" s="7"/>
      <c r="H12" s="7"/>
      <c r="I12" s="7"/>
      <c r="J12" s="7"/>
      <c r="K12" s="7"/>
      <c r="L12" s="7"/>
      <c r="M12" s="7"/>
      <c r="N12" s="7"/>
      <c r="O12" s="7"/>
      <c r="P12" s="7"/>
      <c r="Q12" s="7"/>
    </row>
    <row r="13" spans="1:17" x14ac:dyDescent="0.3">
      <c r="A13" s="7"/>
      <c r="B13" s="7"/>
      <c r="C13" s="7"/>
      <c r="D13" s="7"/>
      <c r="E13" s="7"/>
      <c r="F13" s="7"/>
      <c r="G13" s="7"/>
      <c r="H13" s="7"/>
      <c r="I13" s="7"/>
      <c r="J13" s="7"/>
      <c r="K13" s="7"/>
      <c r="L13" s="7"/>
      <c r="M13" s="7"/>
      <c r="N13" s="7"/>
      <c r="O13" s="7"/>
      <c r="P13" s="7"/>
      <c r="Q13" s="7"/>
    </row>
    <row r="14" spans="1:17" x14ac:dyDescent="0.3">
      <c r="A14" s="7"/>
      <c r="B14" s="7"/>
      <c r="C14" s="7"/>
      <c r="D14" s="7"/>
      <c r="E14" s="7"/>
      <c r="F14" s="7"/>
      <c r="G14" s="7"/>
      <c r="H14" s="7"/>
      <c r="I14" s="7"/>
      <c r="J14" s="7"/>
      <c r="K14" s="7"/>
      <c r="L14" s="7"/>
      <c r="M14" s="7"/>
      <c r="N14" s="7"/>
      <c r="O14" s="7"/>
      <c r="P14" s="7"/>
      <c r="Q14" s="7"/>
    </row>
    <row r="15" spans="1:17" x14ac:dyDescent="0.3">
      <c r="A15" s="7"/>
      <c r="B15" s="7"/>
      <c r="C15" s="7"/>
      <c r="D15" s="7"/>
      <c r="E15" s="7"/>
      <c r="F15" s="7"/>
      <c r="G15" s="7"/>
      <c r="H15" s="7"/>
      <c r="I15" s="7"/>
      <c r="J15" s="7"/>
      <c r="K15" s="7"/>
      <c r="L15" s="7"/>
      <c r="M15" s="7"/>
      <c r="N15" s="7"/>
      <c r="O15" s="7"/>
      <c r="P15" s="7"/>
      <c r="Q15" s="7"/>
    </row>
    <row r="16" spans="1:17" x14ac:dyDescent="0.3">
      <c r="A16" s="7"/>
      <c r="B16" s="7"/>
      <c r="C16" s="7"/>
      <c r="D16" s="7"/>
      <c r="E16" s="7"/>
      <c r="F16" s="7"/>
      <c r="G16" s="7"/>
      <c r="H16" s="7"/>
      <c r="I16" s="7"/>
      <c r="J16" s="7"/>
      <c r="K16" s="7"/>
      <c r="L16" s="7"/>
      <c r="M16" s="7"/>
      <c r="N16" s="7"/>
      <c r="O16" s="7"/>
      <c r="P16" s="7"/>
      <c r="Q16" s="7"/>
    </row>
    <row r="17" spans="1:17" x14ac:dyDescent="0.3">
      <c r="A17" s="7"/>
      <c r="B17" s="7"/>
      <c r="C17" s="7"/>
      <c r="D17" s="7"/>
      <c r="E17" s="7"/>
      <c r="F17" s="7"/>
      <c r="G17" s="7"/>
      <c r="H17" s="7"/>
      <c r="I17" s="7"/>
      <c r="J17" s="7"/>
      <c r="K17" s="7"/>
      <c r="L17" s="7"/>
      <c r="M17" s="7"/>
      <c r="N17" s="7"/>
      <c r="O17" s="7"/>
      <c r="P17" s="7"/>
      <c r="Q17" s="7"/>
    </row>
    <row r="18" spans="1:17" x14ac:dyDescent="0.3">
      <c r="A18" s="7"/>
      <c r="B18" s="7"/>
      <c r="C18" s="7"/>
      <c r="D18" s="7"/>
      <c r="E18" s="7"/>
      <c r="F18" s="7"/>
      <c r="G18" s="7"/>
      <c r="H18" s="7"/>
      <c r="I18" s="7"/>
      <c r="J18" s="7"/>
      <c r="K18" s="7"/>
      <c r="L18" s="7"/>
      <c r="M18" s="7"/>
      <c r="N18" s="7"/>
      <c r="O18" s="7"/>
      <c r="P18" s="7"/>
      <c r="Q18" s="7"/>
    </row>
    <row r="19" spans="1:17" x14ac:dyDescent="0.3">
      <c r="A19" s="7"/>
      <c r="B19" s="7"/>
      <c r="C19" s="7"/>
      <c r="D19" s="7"/>
      <c r="E19" s="7"/>
      <c r="F19" s="7"/>
      <c r="G19" s="7"/>
      <c r="H19" s="7"/>
      <c r="I19" s="7"/>
      <c r="J19" s="7"/>
      <c r="K19" s="7"/>
      <c r="L19" s="7"/>
      <c r="M19" s="7"/>
      <c r="N19" s="7"/>
      <c r="O19" s="7"/>
      <c r="P19" s="7"/>
      <c r="Q19" s="7"/>
    </row>
    <row r="20" spans="1:17" x14ac:dyDescent="0.3">
      <c r="A20" s="7"/>
      <c r="B20" s="7"/>
      <c r="C20" s="7"/>
      <c r="D20" s="7"/>
      <c r="E20" s="7"/>
      <c r="F20" s="7"/>
      <c r="G20" s="7"/>
      <c r="H20" s="7"/>
      <c r="I20" s="7"/>
      <c r="J20" s="7"/>
      <c r="K20" s="7"/>
      <c r="L20" s="7"/>
      <c r="M20" s="7"/>
      <c r="N20" s="7"/>
      <c r="O20" s="7"/>
      <c r="P20" s="7"/>
      <c r="Q20" s="7"/>
    </row>
    <row r="21" spans="1:17" x14ac:dyDescent="0.3">
      <c r="A21" s="7"/>
      <c r="B21" s="7"/>
      <c r="C21" s="7"/>
      <c r="D21" s="7"/>
      <c r="E21" s="7"/>
      <c r="F21" s="7"/>
      <c r="G21" s="7"/>
      <c r="H21" s="7"/>
      <c r="I21" s="7"/>
      <c r="J21" s="7"/>
      <c r="K21" s="7"/>
      <c r="L21" s="7"/>
      <c r="M21" s="7"/>
      <c r="N21" s="7"/>
      <c r="O21" s="7"/>
      <c r="P21" s="7"/>
      <c r="Q21" s="7"/>
    </row>
    <row r="22" spans="1:17" x14ac:dyDescent="0.3">
      <c r="A22" s="7"/>
      <c r="B22" s="7"/>
      <c r="C22" s="7"/>
      <c r="D22" s="7"/>
      <c r="E22" s="7"/>
      <c r="F22" s="7"/>
      <c r="G22" s="7"/>
      <c r="H22" s="7"/>
      <c r="I22" s="7"/>
      <c r="J22" s="7"/>
      <c r="K22" s="7"/>
      <c r="L22" s="7"/>
      <c r="M22" s="7"/>
      <c r="N22" s="7"/>
      <c r="O22" s="7"/>
      <c r="P22" s="7"/>
      <c r="Q22" s="7"/>
    </row>
    <row r="23" spans="1:17" x14ac:dyDescent="0.3">
      <c r="A23" s="7"/>
      <c r="B23" s="7"/>
      <c r="C23" s="7"/>
      <c r="D23" s="7"/>
      <c r="E23" s="7"/>
      <c r="F23" s="7"/>
      <c r="G23" s="7"/>
      <c r="H23" s="7"/>
      <c r="I23" s="7"/>
      <c r="J23" s="7"/>
      <c r="K23" s="7"/>
      <c r="L23" s="7"/>
      <c r="M23" s="7"/>
      <c r="N23" s="7"/>
      <c r="O23" s="7"/>
      <c r="P23" s="7"/>
      <c r="Q23" s="7"/>
    </row>
    <row r="24" spans="1:17" x14ac:dyDescent="0.3">
      <c r="A24" s="7"/>
      <c r="B24" s="7"/>
      <c r="C24" s="7"/>
      <c r="D24" s="7"/>
      <c r="E24" s="7"/>
      <c r="F24" s="7"/>
      <c r="G24" s="7"/>
      <c r="H24" s="7"/>
      <c r="I24" s="7"/>
      <c r="J24" s="7"/>
      <c r="K24" s="7"/>
      <c r="L24" s="7"/>
      <c r="M24" s="7"/>
      <c r="N24" s="7"/>
      <c r="O24" s="7"/>
      <c r="P24" s="7"/>
      <c r="Q24" s="7"/>
    </row>
    <row r="25" spans="1:17" x14ac:dyDescent="0.3">
      <c r="A25" s="7"/>
      <c r="B25" s="7"/>
      <c r="C25" s="7"/>
      <c r="D25" s="7"/>
      <c r="E25" s="7"/>
      <c r="F25" s="7"/>
      <c r="G25" s="7"/>
      <c r="H25" s="7"/>
      <c r="I25" s="7"/>
      <c r="J25" s="7"/>
      <c r="K25" s="7"/>
      <c r="L25" s="7"/>
      <c r="M25" s="7"/>
      <c r="N25" s="7"/>
      <c r="O25" s="7"/>
      <c r="P25" s="7"/>
      <c r="Q25" s="7"/>
    </row>
    <row r="26" spans="1:17" x14ac:dyDescent="0.3">
      <c r="A26" s="7"/>
      <c r="B26" s="7"/>
      <c r="C26" s="7"/>
      <c r="D26" s="7"/>
      <c r="E26" s="7"/>
      <c r="F26" s="7"/>
      <c r="G26" s="7"/>
      <c r="H26" s="7"/>
      <c r="I26" s="7"/>
      <c r="J26" s="7"/>
      <c r="K26" s="7"/>
      <c r="L26" s="7"/>
      <c r="M26" s="7"/>
      <c r="N26" s="7"/>
      <c r="O26" s="7"/>
      <c r="P26" s="7"/>
      <c r="Q26" s="7"/>
    </row>
    <row r="27" spans="1:17" x14ac:dyDescent="0.3">
      <c r="A27" s="7"/>
      <c r="B27" s="7"/>
      <c r="C27" s="7"/>
      <c r="D27" s="7"/>
      <c r="E27" s="7"/>
      <c r="F27" s="7"/>
      <c r="G27" s="7"/>
      <c r="H27" s="7"/>
      <c r="I27" s="7"/>
      <c r="J27" s="7"/>
      <c r="K27" s="7"/>
      <c r="L27" s="7"/>
      <c r="M27" s="7"/>
      <c r="N27" s="7"/>
      <c r="O27" s="7"/>
      <c r="P27" s="7"/>
      <c r="Q27" s="7"/>
    </row>
    <row r="28" spans="1:17" x14ac:dyDescent="0.3">
      <c r="A28" s="7"/>
      <c r="B28" s="7"/>
      <c r="C28" s="7"/>
      <c r="D28" s="7"/>
      <c r="E28" s="7"/>
      <c r="F28" s="7"/>
      <c r="G28" s="7"/>
      <c r="H28" s="7"/>
      <c r="I28" s="7"/>
      <c r="J28" s="7"/>
      <c r="K28" s="7"/>
      <c r="L28" s="7"/>
      <c r="M28" s="7"/>
      <c r="N28" s="7"/>
      <c r="O28" s="7"/>
      <c r="P28" s="7"/>
      <c r="Q28" s="7"/>
    </row>
    <row r="29" spans="1:17" x14ac:dyDescent="0.3">
      <c r="A29" s="7"/>
      <c r="B29" s="7"/>
      <c r="C29" s="7"/>
      <c r="D29" s="7"/>
      <c r="E29" s="7"/>
      <c r="F29" s="7"/>
      <c r="G29" s="7"/>
      <c r="H29" s="7"/>
      <c r="I29" s="7"/>
      <c r="J29" s="7"/>
      <c r="K29" s="7"/>
      <c r="L29" s="7"/>
      <c r="M29" s="7"/>
      <c r="N29" s="7"/>
      <c r="O29" s="7"/>
      <c r="P29" s="7"/>
      <c r="Q29" s="7"/>
    </row>
    <row r="30" spans="1:17" x14ac:dyDescent="0.3">
      <c r="A30" s="7"/>
      <c r="B30" s="7"/>
      <c r="C30" s="7"/>
      <c r="D30" s="7"/>
      <c r="E30" s="7"/>
      <c r="F30" s="7"/>
      <c r="G30" s="7"/>
      <c r="H30" s="7"/>
      <c r="I30" s="7"/>
      <c r="J30" s="7"/>
      <c r="K30" s="7"/>
      <c r="L30" s="7"/>
      <c r="M30" s="7"/>
      <c r="N30" s="7"/>
      <c r="O30" s="7"/>
      <c r="P30" s="7"/>
      <c r="Q30" s="7"/>
    </row>
    <row r="31" spans="1:17" x14ac:dyDescent="0.3">
      <c r="A31" s="7"/>
      <c r="B31" s="7"/>
      <c r="C31" s="7"/>
      <c r="D31" s="7"/>
      <c r="E31" s="7"/>
      <c r="F31" s="7"/>
      <c r="G31" s="7"/>
      <c r="H31" s="7"/>
      <c r="I31" s="7"/>
      <c r="J31" s="7"/>
      <c r="K31" s="7"/>
      <c r="L31" s="7"/>
      <c r="M31" s="7"/>
      <c r="N31" s="7"/>
      <c r="O31" s="7"/>
      <c r="P31" s="7"/>
      <c r="Q31" s="7"/>
    </row>
    <row r="32" spans="1:17" x14ac:dyDescent="0.3">
      <c r="A32" s="7"/>
      <c r="B32" s="7"/>
      <c r="C32" s="7"/>
      <c r="D32" s="7"/>
      <c r="E32" s="7"/>
      <c r="F32" s="7"/>
      <c r="G32" s="7"/>
      <c r="H32" s="7"/>
      <c r="I32" s="7"/>
      <c r="J32" s="7"/>
      <c r="K32" s="7"/>
      <c r="L32" s="7"/>
      <c r="M32" s="7"/>
      <c r="N32" s="7"/>
      <c r="O32" s="7"/>
      <c r="P32" s="7"/>
      <c r="Q32" s="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8AB82-4606-449D-A63E-62012448124E}">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CB57C-E66B-466E-9932-54688D0DAE06}">
  <dimension ref="A1:R1"/>
  <sheetViews>
    <sheetView workbookViewId="0"/>
  </sheetViews>
  <sheetFormatPr defaultRowHeight="14.4" x14ac:dyDescent="0.3"/>
  <cols>
    <col min="1" max="18" width="8.88671875" style="5"/>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640BB99B-2345-4740-9182-3673CCAEE5E8}">
  <ds:schemaRefs/>
</ds:datastoreItem>
</file>

<file path=customXml/itemProps2.xml><?xml version="1.0" encoding="utf-8"?>
<ds:datastoreItem xmlns:ds="http://schemas.openxmlformats.org/officeDocument/2006/customXml" ds:itemID="{CAFED452-5CEF-46A2-84B4-DD17505AA816}">
  <ds:schemaRefs/>
</ds:datastoreItem>
</file>

<file path=customXml/itemProps3.xml><?xml version="1.0" encoding="utf-8"?>
<ds:datastoreItem xmlns:ds="http://schemas.openxmlformats.org/officeDocument/2006/customXml" ds:itemID="{8E2B2DA8-A364-4440-9171-F2A2ED92A4F3}">
  <ds:schemaRefs/>
</ds:datastoreItem>
</file>

<file path=customXml/itemProps4.xml><?xml version="1.0" encoding="utf-8"?>
<ds:datastoreItem xmlns:ds="http://schemas.openxmlformats.org/officeDocument/2006/customXml" ds:itemID="{CA0B5723-9588-4B27-BC5D-DCFB7DCCD0C7}">
  <ds:schemaRefs/>
</ds:datastoreItem>
</file>

<file path=customXml/itemProps5.xml><?xml version="1.0" encoding="utf-8"?>
<ds:datastoreItem xmlns:ds="http://schemas.openxmlformats.org/officeDocument/2006/customXml" ds:itemID="{A4A95A64-C1D0-48BE-881C-1113953C654B}">
  <ds:schemaRefs/>
</ds:datastoreItem>
</file>

<file path=customXml/itemProps6.xml><?xml version="1.0" encoding="utf-8"?>
<ds:datastoreItem xmlns:ds="http://schemas.openxmlformats.org/officeDocument/2006/customXml" ds:itemID="{E67E7FDE-4236-4ED8-A8B0-E54FC54EAE10}">
  <ds:schemaRefs/>
</ds:datastoreItem>
</file>

<file path=customXml/itemProps7.xml><?xml version="1.0" encoding="utf-8"?>
<ds:datastoreItem xmlns:ds="http://schemas.openxmlformats.org/officeDocument/2006/customXml" ds:itemID="{FB40741E-BB82-4459-A4BD-321DD4A89ACB}">
  <ds:schemaRefs/>
</ds:datastoreItem>
</file>

<file path=customXml/itemProps8.xml><?xml version="1.0" encoding="utf-8"?>
<ds:datastoreItem xmlns:ds="http://schemas.openxmlformats.org/officeDocument/2006/customXml" ds:itemID="{01FE4200-1246-4B4F-84D4-4E65FB7C0ACF}">
  <ds:schemaRefs/>
</ds:datastoreItem>
</file>

<file path=customXml/itemProps9.xml><?xml version="1.0" encoding="utf-8"?>
<ds:datastoreItem xmlns:ds="http://schemas.openxmlformats.org/officeDocument/2006/customXml" ds:itemID="{23CD784F-29FD-4604-B470-4EFD2154E961}">
  <ds:schemaRefs>
    <ds:schemaRef ds:uri="http://schemas.microsoft.com/DataMashup"/>
  </ds:schemaRefs>
</ds:datastoreItem>
</file>

<file path=customXml/itemProps10.xml><?xml version="1.0" encoding="utf-8"?>
<ds:datastoreItem xmlns:ds="http://schemas.openxmlformats.org/officeDocument/2006/customXml" ds:itemID="{C00BAB61-15FB-4D0A-8BF1-5EE31480AC67}">
  <ds:schemaRefs/>
</ds:datastoreItem>
</file>

<file path=customXml/itemProps11.xml><?xml version="1.0" encoding="utf-8"?>
<ds:datastoreItem xmlns:ds="http://schemas.openxmlformats.org/officeDocument/2006/customXml" ds:itemID="{7A44471F-9FF3-4968-B828-3A7D5D439806}">
  <ds:schemaRefs/>
</ds:datastoreItem>
</file>

<file path=customXml/itemProps12.xml><?xml version="1.0" encoding="utf-8"?>
<ds:datastoreItem xmlns:ds="http://schemas.openxmlformats.org/officeDocument/2006/customXml" ds:itemID="{5A7293AD-5099-4AAF-84E7-CFC2BF159E8F}">
  <ds:schemaRefs/>
</ds:datastoreItem>
</file>

<file path=customXml/itemProps13.xml><?xml version="1.0" encoding="utf-8"?>
<ds:datastoreItem xmlns:ds="http://schemas.openxmlformats.org/officeDocument/2006/customXml" ds:itemID="{16A34690-408C-4060-8EF3-0FEC36BE327E}">
  <ds:schemaRefs/>
</ds:datastoreItem>
</file>

<file path=customXml/itemProps14.xml><?xml version="1.0" encoding="utf-8"?>
<ds:datastoreItem xmlns:ds="http://schemas.openxmlformats.org/officeDocument/2006/customXml" ds:itemID="{BFEF87E5-53C5-4E28-A064-28299E284C11}">
  <ds:schemaRefs/>
</ds:datastoreItem>
</file>

<file path=customXml/itemProps15.xml><?xml version="1.0" encoding="utf-8"?>
<ds:datastoreItem xmlns:ds="http://schemas.openxmlformats.org/officeDocument/2006/customXml" ds:itemID="{4001D7B9-4F91-46BC-A826-CCFAC4C85C4A}">
  <ds:schemaRefs/>
</ds:datastoreItem>
</file>

<file path=customXml/itemProps16.xml><?xml version="1.0" encoding="utf-8"?>
<ds:datastoreItem xmlns:ds="http://schemas.openxmlformats.org/officeDocument/2006/customXml" ds:itemID="{21EA19DF-5D60-460C-9266-50F38F893F91}">
  <ds:schemaRefs/>
</ds:datastoreItem>
</file>

<file path=customXml/itemProps17.xml><?xml version="1.0" encoding="utf-8"?>
<ds:datastoreItem xmlns:ds="http://schemas.openxmlformats.org/officeDocument/2006/customXml" ds:itemID="{34CF52C5-7902-4A90-8B21-FFFBCDC82D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patient satisfication score</vt:lpstr>
      <vt:lpstr>Average wait time</vt:lpstr>
      <vt:lpstr>Daily Emergency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subham chakraborty</dc:creator>
  <cp:lastModifiedBy>subham chakraborty</cp:lastModifiedBy>
  <dcterms:created xsi:type="dcterms:W3CDTF">2025-12-24T14:15:13Z</dcterms:created>
  <dcterms:modified xsi:type="dcterms:W3CDTF">2026-01-09T12:49:03Z</dcterms:modified>
</cp:coreProperties>
</file>